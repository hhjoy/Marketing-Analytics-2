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/>
  <mc:AlternateContent xmlns:mc="http://schemas.openxmlformats.org/markup-compatibility/2006">
    <mc:Choice Requires="x15">
      <x15ac:absPath xmlns:x15ac="http://schemas.microsoft.com/office/spreadsheetml/2010/11/ac" url="C:\Users\dorak\Desktop\"/>
    </mc:Choice>
  </mc:AlternateContent>
  <xr:revisionPtr revIDLastSave="0" documentId="12_ncr:500000_{FC1342C8-8579-41A4-BDE7-A28C02520C75}" xr6:coauthVersionLast="31" xr6:coauthVersionMax="31" xr10:uidLastSave="{00000000-0000-0000-0000-000000000000}"/>
  <bookViews>
    <workbookView xWindow="0" yWindow="0" windowWidth="20490" windowHeight="7545" tabRatio="500" activeTab="3" xr2:uid="{00000000-000D-0000-FFFF-FFFF00000000}"/>
  </bookViews>
  <sheets>
    <sheet name="DO MA" sheetId="1" r:id="rId1"/>
    <sheet name="DO WW" sheetId="3" r:id="rId2"/>
    <sheet name="PA MA" sheetId="5" r:id="rId3"/>
    <sheet name="PA WW" sheetId="4" r:id="rId4"/>
  </sheets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59" i="4" l="1"/>
  <c r="U70" i="4"/>
  <c r="T59" i="4"/>
  <c r="T70" i="4"/>
  <c r="S59" i="4"/>
  <c r="S70" i="4"/>
  <c r="R59" i="4"/>
  <c r="R70" i="4"/>
  <c r="Q59" i="4"/>
  <c r="Q70" i="4"/>
  <c r="P59" i="4"/>
  <c r="P70" i="4"/>
  <c r="O59" i="4"/>
  <c r="O70" i="4"/>
  <c r="N59" i="4"/>
  <c r="N70" i="4"/>
  <c r="M59" i="4"/>
  <c r="M70" i="4"/>
  <c r="L59" i="4"/>
  <c r="L70" i="4"/>
  <c r="K59" i="4"/>
  <c r="K70" i="4"/>
  <c r="J59" i="4"/>
  <c r="J70" i="4"/>
  <c r="I59" i="4"/>
  <c r="I70" i="4"/>
  <c r="H59" i="4"/>
  <c r="H70" i="4"/>
  <c r="G59" i="4"/>
  <c r="G70" i="4"/>
  <c r="F59" i="4"/>
  <c r="F70" i="4"/>
  <c r="E59" i="4"/>
  <c r="E70" i="4"/>
  <c r="D59" i="4"/>
  <c r="D70" i="4"/>
  <c r="C59" i="4"/>
  <c r="C70" i="4"/>
  <c r="B59" i="4"/>
  <c r="B70" i="4"/>
  <c r="U58" i="4"/>
  <c r="U69" i="4"/>
  <c r="T58" i="4"/>
  <c r="T69" i="4"/>
  <c r="S58" i="4"/>
  <c r="S69" i="4"/>
  <c r="R58" i="4"/>
  <c r="R69" i="4"/>
  <c r="Q58" i="4"/>
  <c r="Q69" i="4"/>
  <c r="P58" i="4"/>
  <c r="P69" i="4"/>
  <c r="O58" i="4"/>
  <c r="O69" i="4"/>
  <c r="N58" i="4"/>
  <c r="N69" i="4"/>
  <c r="M58" i="4"/>
  <c r="M69" i="4"/>
  <c r="L58" i="4"/>
  <c r="L69" i="4"/>
  <c r="K58" i="4"/>
  <c r="K69" i="4"/>
  <c r="J58" i="4"/>
  <c r="J69" i="4"/>
  <c r="I58" i="4"/>
  <c r="I69" i="4"/>
  <c r="H58" i="4"/>
  <c r="H69" i="4"/>
  <c r="G58" i="4"/>
  <c r="G69" i="4"/>
  <c r="F58" i="4"/>
  <c r="F69" i="4"/>
  <c r="E58" i="4"/>
  <c r="E69" i="4"/>
  <c r="D58" i="4"/>
  <c r="D69" i="4"/>
  <c r="C58" i="4"/>
  <c r="C69" i="4"/>
  <c r="B58" i="4"/>
  <c r="B69" i="4"/>
  <c r="U57" i="4"/>
  <c r="U68" i="4"/>
  <c r="T57" i="4"/>
  <c r="T68" i="4"/>
  <c r="S57" i="4"/>
  <c r="S68" i="4"/>
  <c r="R57" i="4"/>
  <c r="R68" i="4"/>
  <c r="Q57" i="4"/>
  <c r="Q68" i="4"/>
  <c r="P57" i="4"/>
  <c r="P68" i="4"/>
  <c r="O57" i="4"/>
  <c r="O68" i="4"/>
  <c r="N57" i="4"/>
  <c r="N68" i="4"/>
  <c r="M57" i="4"/>
  <c r="M68" i="4"/>
  <c r="L57" i="4"/>
  <c r="L68" i="4"/>
  <c r="K57" i="4"/>
  <c r="K68" i="4"/>
  <c r="J57" i="4"/>
  <c r="J68" i="4"/>
  <c r="I57" i="4"/>
  <c r="I68" i="4"/>
  <c r="H57" i="4"/>
  <c r="H68" i="4"/>
  <c r="G57" i="4"/>
  <c r="G68" i="4"/>
  <c r="F57" i="4"/>
  <c r="F68" i="4"/>
  <c r="E57" i="4"/>
  <c r="E68" i="4"/>
  <c r="D57" i="4"/>
  <c r="D68" i="4"/>
  <c r="C57" i="4"/>
  <c r="C68" i="4"/>
  <c r="B57" i="4"/>
  <c r="B68" i="4"/>
  <c r="U56" i="4"/>
  <c r="U67" i="4"/>
  <c r="T56" i="4"/>
  <c r="T67" i="4"/>
  <c r="S56" i="4"/>
  <c r="S67" i="4"/>
  <c r="R56" i="4"/>
  <c r="R67" i="4"/>
  <c r="Q56" i="4"/>
  <c r="Q67" i="4"/>
  <c r="P56" i="4"/>
  <c r="P67" i="4"/>
  <c r="O56" i="4"/>
  <c r="O67" i="4"/>
  <c r="N56" i="4"/>
  <c r="N67" i="4"/>
  <c r="M56" i="4"/>
  <c r="M67" i="4"/>
  <c r="L56" i="4"/>
  <c r="L67" i="4"/>
  <c r="K56" i="4"/>
  <c r="K67" i="4"/>
  <c r="J56" i="4"/>
  <c r="J67" i="4"/>
  <c r="I56" i="4"/>
  <c r="I67" i="4"/>
  <c r="H56" i="4"/>
  <c r="H67" i="4"/>
  <c r="G56" i="4"/>
  <c r="G67" i="4"/>
  <c r="F56" i="4"/>
  <c r="F67" i="4"/>
  <c r="E56" i="4"/>
  <c r="E67" i="4"/>
  <c r="D56" i="4"/>
  <c r="D67" i="4"/>
  <c r="C56" i="4"/>
  <c r="C67" i="4"/>
  <c r="B56" i="4"/>
  <c r="B67" i="4"/>
  <c r="U55" i="4"/>
  <c r="U66" i="4"/>
  <c r="T55" i="4"/>
  <c r="T66" i="4"/>
  <c r="S55" i="4"/>
  <c r="S66" i="4"/>
  <c r="R55" i="4"/>
  <c r="R66" i="4"/>
  <c r="Q55" i="4"/>
  <c r="Q66" i="4"/>
  <c r="P55" i="4"/>
  <c r="P66" i="4"/>
  <c r="O55" i="4"/>
  <c r="O66" i="4"/>
  <c r="N55" i="4"/>
  <c r="N66" i="4"/>
  <c r="M55" i="4"/>
  <c r="M66" i="4"/>
  <c r="L55" i="4"/>
  <c r="L66" i="4"/>
  <c r="K55" i="4"/>
  <c r="K66" i="4"/>
  <c r="J55" i="4"/>
  <c r="J66" i="4"/>
  <c r="I55" i="4"/>
  <c r="I66" i="4"/>
  <c r="H55" i="4"/>
  <c r="H66" i="4"/>
  <c r="G55" i="4"/>
  <c r="G66" i="4"/>
  <c r="F55" i="4"/>
  <c r="F66" i="4"/>
  <c r="E55" i="4"/>
  <c r="E66" i="4"/>
  <c r="D55" i="4"/>
  <c r="D66" i="4"/>
  <c r="C55" i="4"/>
  <c r="C66" i="4"/>
  <c r="B55" i="4"/>
  <c r="B66" i="4"/>
  <c r="U54" i="4"/>
  <c r="U65" i="4"/>
  <c r="T54" i="4"/>
  <c r="T65" i="4"/>
  <c r="S54" i="4"/>
  <c r="S65" i="4"/>
  <c r="R54" i="4"/>
  <c r="R65" i="4"/>
  <c r="Q54" i="4"/>
  <c r="Q65" i="4"/>
  <c r="P54" i="4"/>
  <c r="P65" i="4"/>
  <c r="O54" i="4"/>
  <c r="O65" i="4"/>
  <c r="N54" i="4"/>
  <c r="N65" i="4"/>
  <c r="M54" i="4"/>
  <c r="M65" i="4"/>
  <c r="L54" i="4"/>
  <c r="L65" i="4"/>
  <c r="K54" i="4"/>
  <c r="K65" i="4"/>
  <c r="J54" i="4"/>
  <c r="J65" i="4"/>
  <c r="I54" i="4"/>
  <c r="I65" i="4"/>
  <c r="H54" i="4"/>
  <c r="H65" i="4"/>
  <c r="G54" i="4"/>
  <c r="G65" i="4"/>
  <c r="F54" i="4"/>
  <c r="F65" i="4"/>
  <c r="E54" i="4"/>
  <c r="E65" i="4"/>
  <c r="D54" i="4"/>
  <c r="D65" i="4"/>
  <c r="C54" i="4"/>
  <c r="C65" i="4"/>
  <c r="B54" i="4"/>
  <c r="B65" i="4"/>
  <c r="U53" i="4"/>
  <c r="U64" i="4"/>
  <c r="T53" i="4"/>
  <c r="T64" i="4"/>
  <c r="S53" i="4"/>
  <c r="S64" i="4"/>
  <c r="R53" i="4"/>
  <c r="R64" i="4"/>
  <c r="Q53" i="4"/>
  <c r="Q64" i="4"/>
  <c r="P53" i="4"/>
  <c r="P64" i="4"/>
  <c r="O53" i="4"/>
  <c r="O64" i="4"/>
  <c r="N53" i="4"/>
  <c r="N64" i="4"/>
  <c r="M53" i="4"/>
  <c r="M64" i="4"/>
  <c r="L53" i="4"/>
  <c r="L64" i="4"/>
  <c r="K53" i="4"/>
  <c r="K64" i="4"/>
  <c r="J53" i="4"/>
  <c r="J64" i="4"/>
  <c r="I53" i="4"/>
  <c r="I64" i="4"/>
  <c r="H53" i="4"/>
  <c r="H64" i="4"/>
  <c r="G53" i="4"/>
  <c r="G64" i="4"/>
  <c r="F53" i="4"/>
  <c r="F64" i="4"/>
  <c r="E53" i="4"/>
  <c r="E64" i="4"/>
  <c r="D53" i="4"/>
  <c r="D64" i="4"/>
  <c r="C53" i="4"/>
  <c r="C64" i="4"/>
  <c r="B53" i="4"/>
  <c r="B64" i="4"/>
  <c r="U59" i="5"/>
  <c r="U70" i="5"/>
  <c r="T59" i="5"/>
  <c r="T70" i="5"/>
  <c r="S59" i="5"/>
  <c r="S70" i="5"/>
  <c r="R59" i="5"/>
  <c r="R70" i="5"/>
  <c r="Q59" i="5"/>
  <c r="Q70" i="5"/>
  <c r="P59" i="5"/>
  <c r="P70" i="5"/>
  <c r="O59" i="5"/>
  <c r="O70" i="5"/>
  <c r="N59" i="5"/>
  <c r="N70" i="5"/>
  <c r="M59" i="5"/>
  <c r="M70" i="5"/>
  <c r="L59" i="5"/>
  <c r="L70" i="5"/>
  <c r="K59" i="5"/>
  <c r="K70" i="5"/>
  <c r="J59" i="5"/>
  <c r="J70" i="5"/>
  <c r="I59" i="5"/>
  <c r="I70" i="5"/>
  <c r="H59" i="5"/>
  <c r="H70" i="5"/>
  <c r="G59" i="5"/>
  <c r="G70" i="5"/>
  <c r="F59" i="5"/>
  <c r="F70" i="5"/>
  <c r="E59" i="5"/>
  <c r="E70" i="5"/>
  <c r="D59" i="5"/>
  <c r="D70" i="5"/>
  <c r="C59" i="5"/>
  <c r="C70" i="5"/>
  <c r="B59" i="5"/>
  <c r="B70" i="5"/>
  <c r="U58" i="5"/>
  <c r="U69" i="5"/>
  <c r="T58" i="5"/>
  <c r="T69" i="5"/>
  <c r="S58" i="5"/>
  <c r="S69" i="5"/>
  <c r="R58" i="5"/>
  <c r="R69" i="5"/>
  <c r="Q58" i="5"/>
  <c r="Q69" i="5"/>
  <c r="P58" i="5"/>
  <c r="P69" i="5"/>
  <c r="O58" i="5"/>
  <c r="O69" i="5"/>
  <c r="N58" i="5"/>
  <c r="N69" i="5"/>
  <c r="M58" i="5"/>
  <c r="M69" i="5"/>
  <c r="L58" i="5"/>
  <c r="L69" i="5"/>
  <c r="K58" i="5"/>
  <c r="K69" i="5"/>
  <c r="J58" i="5"/>
  <c r="J69" i="5"/>
  <c r="I58" i="5"/>
  <c r="I69" i="5"/>
  <c r="H58" i="5"/>
  <c r="H69" i="5"/>
  <c r="G58" i="5"/>
  <c r="G69" i="5"/>
  <c r="F58" i="5"/>
  <c r="F69" i="5"/>
  <c r="E58" i="5"/>
  <c r="E69" i="5"/>
  <c r="D58" i="5"/>
  <c r="D69" i="5"/>
  <c r="C58" i="5"/>
  <c r="C69" i="5"/>
  <c r="B58" i="5"/>
  <c r="B69" i="5"/>
  <c r="U57" i="5"/>
  <c r="U68" i="5"/>
  <c r="T57" i="5"/>
  <c r="T68" i="5"/>
  <c r="S57" i="5"/>
  <c r="S68" i="5"/>
  <c r="R57" i="5"/>
  <c r="R68" i="5"/>
  <c r="Q57" i="5"/>
  <c r="Q68" i="5"/>
  <c r="P57" i="5"/>
  <c r="P68" i="5"/>
  <c r="O57" i="5"/>
  <c r="O68" i="5"/>
  <c r="N57" i="5"/>
  <c r="N68" i="5"/>
  <c r="M57" i="5"/>
  <c r="M68" i="5"/>
  <c r="L57" i="5"/>
  <c r="L68" i="5"/>
  <c r="K57" i="5"/>
  <c r="K68" i="5"/>
  <c r="J57" i="5"/>
  <c r="J68" i="5"/>
  <c r="I57" i="5"/>
  <c r="I68" i="5"/>
  <c r="H57" i="5"/>
  <c r="H68" i="5"/>
  <c r="G57" i="5"/>
  <c r="G68" i="5"/>
  <c r="F57" i="5"/>
  <c r="F68" i="5"/>
  <c r="E57" i="5"/>
  <c r="E68" i="5"/>
  <c r="D57" i="5"/>
  <c r="D68" i="5"/>
  <c r="C57" i="5"/>
  <c r="C68" i="5"/>
  <c r="B57" i="5"/>
  <c r="B68" i="5"/>
  <c r="U56" i="5"/>
  <c r="U67" i="5"/>
  <c r="T56" i="5"/>
  <c r="T67" i="5"/>
  <c r="S56" i="5"/>
  <c r="S67" i="5"/>
  <c r="R56" i="5"/>
  <c r="R67" i="5"/>
  <c r="Q56" i="5"/>
  <c r="Q67" i="5"/>
  <c r="P56" i="5"/>
  <c r="P67" i="5"/>
  <c r="O56" i="5"/>
  <c r="O67" i="5"/>
  <c r="N56" i="5"/>
  <c r="N67" i="5"/>
  <c r="M56" i="5"/>
  <c r="M67" i="5"/>
  <c r="L56" i="5"/>
  <c r="L67" i="5"/>
  <c r="K56" i="5"/>
  <c r="K67" i="5"/>
  <c r="J56" i="5"/>
  <c r="J67" i="5"/>
  <c r="I56" i="5"/>
  <c r="I67" i="5"/>
  <c r="H56" i="5"/>
  <c r="H67" i="5"/>
  <c r="G56" i="5"/>
  <c r="G67" i="5"/>
  <c r="F56" i="5"/>
  <c r="F67" i="5"/>
  <c r="E56" i="5"/>
  <c r="E67" i="5"/>
  <c r="D56" i="5"/>
  <c r="D67" i="5"/>
  <c r="C56" i="5"/>
  <c r="C67" i="5"/>
  <c r="B56" i="5"/>
  <c r="B67" i="5"/>
  <c r="U55" i="5"/>
  <c r="U66" i="5"/>
  <c r="T55" i="5"/>
  <c r="T66" i="5"/>
  <c r="S55" i="5"/>
  <c r="S66" i="5"/>
  <c r="R55" i="5"/>
  <c r="R66" i="5"/>
  <c r="Q55" i="5"/>
  <c r="Q66" i="5"/>
  <c r="P55" i="5"/>
  <c r="P66" i="5"/>
  <c r="O55" i="5"/>
  <c r="O66" i="5"/>
  <c r="N55" i="5"/>
  <c r="N66" i="5"/>
  <c r="M55" i="5"/>
  <c r="M66" i="5"/>
  <c r="L55" i="5"/>
  <c r="L66" i="5"/>
  <c r="K55" i="5"/>
  <c r="K66" i="5"/>
  <c r="J55" i="5"/>
  <c r="J66" i="5"/>
  <c r="I55" i="5"/>
  <c r="I66" i="5"/>
  <c r="H55" i="5"/>
  <c r="H66" i="5"/>
  <c r="G55" i="5"/>
  <c r="G66" i="5"/>
  <c r="F55" i="5"/>
  <c r="F66" i="5"/>
  <c r="E55" i="5"/>
  <c r="E66" i="5"/>
  <c r="D55" i="5"/>
  <c r="D66" i="5"/>
  <c r="C55" i="5"/>
  <c r="C66" i="5"/>
  <c r="B55" i="5"/>
  <c r="B66" i="5"/>
  <c r="U54" i="5"/>
  <c r="U65" i="5"/>
  <c r="T54" i="5"/>
  <c r="T65" i="5"/>
  <c r="S54" i="5"/>
  <c r="S65" i="5"/>
  <c r="R54" i="5"/>
  <c r="R65" i="5"/>
  <c r="Q54" i="5"/>
  <c r="Q65" i="5"/>
  <c r="P54" i="5"/>
  <c r="P65" i="5"/>
  <c r="O54" i="5"/>
  <c r="O65" i="5"/>
  <c r="N54" i="5"/>
  <c r="N65" i="5"/>
  <c r="M54" i="5"/>
  <c r="M65" i="5"/>
  <c r="L54" i="5"/>
  <c r="L65" i="5"/>
  <c r="K54" i="5"/>
  <c r="K65" i="5"/>
  <c r="J54" i="5"/>
  <c r="J65" i="5"/>
  <c r="I54" i="5"/>
  <c r="I65" i="5"/>
  <c r="H54" i="5"/>
  <c r="H65" i="5"/>
  <c r="G54" i="5"/>
  <c r="G65" i="5"/>
  <c r="F54" i="5"/>
  <c r="F65" i="5"/>
  <c r="E54" i="5"/>
  <c r="E65" i="5"/>
  <c r="D54" i="5"/>
  <c r="D65" i="5"/>
  <c r="C54" i="5"/>
  <c r="C65" i="5"/>
  <c r="B54" i="5"/>
  <c r="B65" i="5"/>
  <c r="U53" i="5"/>
  <c r="U64" i="5"/>
  <c r="T53" i="5"/>
  <c r="T64" i="5"/>
  <c r="S53" i="5"/>
  <c r="S64" i="5"/>
  <c r="R53" i="5"/>
  <c r="R64" i="5"/>
  <c r="Q53" i="5"/>
  <c r="Q64" i="5"/>
  <c r="P53" i="5"/>
  <c r="P64" i="5"/>
  <c r="O53" i="5"/>
  <c r="O64" i="5"/>
  <c r="N53" i="5"/>
  <c r="N64" i="5"/>
  <c r="M53" i="5"/>
  <c r="M64" i="5"/>
  <c r="L53" i="5"/>
  <c r="L64" i="5"/>
  <c r="K53" i="5"/>
  <c r="K64" i="5"/>
  <c r="J53" i="5"/>
  <c r="J64" i="5"/>
  <c r="I53" i="5"/>
  <c r="I64" i="5"/>
  <c r="H53" i="5"/>
  <c r="H64" i="5"/>
  <c r="G53" i="5"/>
  <c r="G64" i="5"/>
  <c r="F53" i="5"/>
  <c r="F64" i="5"/>
  <c r="E53" i="5"/>
  <c r="E64" i="5"/>
  <c r="D53" i="5"/>
  <c r="D64" i="5"/>
  <c r="C53" i="5"/>
  <c r="C64" i="5"/>
  <c r="B53" i="5"/>
  <c r="B64" i="5"/>
  <c r="U59" i="3"/>
  <c r="U70" i="3"/>
  <c r="T59" i="3"/>
  <c r="T70" i="3"/>
  <c r="S59" i="3"/>
  <c r="S70" i="3"/>
  <c r="R59" i="3"/>
  <c r="R70" i="3"/>
  <c r="Q59" i="3"/>
  <c r="Q70" i="3"/>
  <c r="P59" i="3"/>
  <c r="P70" i="3"/>
  <c r="O59" i="3"/>
  <c r="O70" i="3"/>
  <c r="N59" i="3"/>
  <c r="N70" i="3"/>
  <c r="M59" i="3"/>
  <c r="M70" i="3"/>
  <c r="L59" i="3"/>
  <c r="L70" i="3"/>
  <c r="K59" i="3"/>
  <c r="K70" i="3"/>
  <c r="J59" i="3"/>
  <c r="J70" i="3"/>
  <c r="I59" i="3"/>
  <c r="I70" i="3"/>
  <c r="H59" i="3"/>
  <c r="H70" i="3"/>
  <c r="G59" i="3"/>
  <c r="G70" i="3"/>
  <c r="F59" i="3"/>
  <c r="F70" i="3"/>
  <c r="E59" i="3"/>
  <c r="E70" i="3"/>
  <c r="D59" i="3"/>
  <c r="D70" i="3"/>
  <c r="C59" i="3"/>
  <c r="C70" i="3"/>
  <c r="B59" i="3"/>
  <c r="B70" i="3"/>
  <c r="U58" i="3"/>
  <c r="U69" i="3"/>
  <c r="T58" i="3"/>
  <c r="T69" i="3"/>
  <c r="S58" i="3"/>
  <c r="S69" i="3"/>
  <c r="R58" i="3"/>
  <c r="R69" i="3"/>
  <c r="Q58" i="3"/>
  <c r="Q69" i="3"/>
  <c r="P58" i="3"/>
  <c r="P69" i="3"/>
  <c r="O58" i="3"/>
  <c r="O69" i="3"/>
  <c r="N58" i="3"/>
  <c r="N69" i="3"/>
  <c r="M58" i="3"/>
  <c r="M69" i="3"/>
  <c r="L58" i="3"/>
  <c r="L69" i="3"/>
  <c r="K58" i="3"/>
  <c r="K69" i="3"/>
  <c r="J58" i="3"/>
  <c r="J69" i="3"/>
  <c r="I58" i="3"/>
  <c r="I69" i="3"/>
  <c r="H58" i="3"/>
  <c r="H69" i="3"/>
  <c r="G58" i="3"/>
  <c r="G69" i="3"/>
  <c r="F58" i="3"/>
  <c r="F69" i="3"/>
  <c r="E58" i="3"/>
  <c r="E69" i="3"/>
  <c r="D58" i="3"/>
  <c r="D69" i="3"/>
  <c r="C58" i="3"/>
  <c r="C69" i="3"/>
  <c r="B58" i="3"/>
  <c r="B69" i="3"/>
  <c r="U57" i="3"/>
  <c r="U68" i="3"/>
  <c r="T57" i="3"/>
  <c r="T68" i="3"/>
  <c r="S57" i="3"/>
  <c r="S68" i="3"/>
  <c r="R57" i="3"/>
  <c r="R68" i="3"/>
  <c r="Q57" i="3"/>
  <c r="Q68" i="3"/>
  <c r="P57" i="3"/>
  <c r="P68" i="3"/>
  <c r="O57" i="3"/>
  <c r="O68" i="3"/>
  <c r="N57" i="3"/>
  <c r="N68" i="3"/>
  <c r="M57" i="3"/>
  <c r="M68" i="3"/>
  <c r="L57" i="3"/>
  <c r="L68" i="3"/>
  <c r="K57" i="3"/>
  <c r="K68" i="3"/>
  <c r="J57" i="3"/>
  <c r="J68" i="3"/>
  <c r="I57" i="3"/>
  <c r="I68" i="3"/>
  <c r="H57" i="3"/>
  <c r="H68" i="3"/>
  <c r="G57" i="3"/>
  <c r="G68" i="3"/>
  <c r="F57" i="3"/>
  <c r="F68" i="3"/>
  <c r="E57" i="3"/>
  <c r="E68" i="3"/>
  <c r="D57" i="3"/>
  <c r="D68" i="3"/>
  <c r="C57" i="3"/>
  <c r="C68" i="3"/>
  <c r="B57" i="3"/>
  <c r="B68" i="3"/>
  <c r="U56" i="3"/>
  <c r="U67" i="3"/>
  <c r="T56" i="3"/>
  <c r="T67" i="3"/>
  <c r="S56" i="3"/>
  <c r="S67" i="3"/>
  <c r="R56" i="3"/>
  <c r="R67" i="3"/>
  <c r="Q56" i="3"/>
  <c r="Q67" i="3"/>
  <c r="P56" i="3"/>
  <c r="P67" i="3"/>
  <c r="O56" i="3"/>
  <c r="O67" i="3"/>
  <c r="N56" i="3"/>
  <c r="N67" i="3"/>
  <c r="M56" i="3"/>
  <c r="M67" i="3"/>
  <c r="L56" i="3"/>
  <c r="L67" i="3"/>
  <c r="K56" i="3"/>
  <c r="K67" i="3"/>
  <c r="J56" i="3"/>
  <c r="J67" i="3"/>
  <c r="I56" i="3"/>
  <c r="I67" i="3"/>
  <c r="H56" i="3"/>
  <c r="H67" i="3"/>
  <c r="G56" i="3"/>
  <c r="G67" i="3"/>
  <c r="F56" i="3"/>
  <c r="F67" i="3"/>
  <c r="E56" i="3"/>
  <c r="E67" i="3"/>
  <c r="D56" i="3"/>
  <c r="D67" i="3"/>
  <c r="C56" i="3"/>
  <c r="C67" i="3"/>
  <c r="B56" i="3"/>
  <c r="B67" i="3"/>
  <c r="U55" i="3"/>
  <c r="U66" i="3"/>
  <c r="T55" i="3"/>
  <c r="T66" i="3"/>
  <c r="S55" i="3"/>
  <c r="S66" i="3"/>
  <c r="R55" i="3"/>
  <c r="R66" i="3"/>
  <c r="Q55" i="3"/>
  <c r="Q66" i="3"/>
  <c r="P55" i="3"/>
  <c r="P66" i="3"/>
  <c r="O55" i="3"/>
  <c r="O66" i="3"/>
  <c r="N55" i="3"/>
  <c r="N66" i="3"/>
  <c r="M55" i="3"/>
  <c r="M66" i="3"/>
  <c r="L55" i="3"/>
  <c r="L66" i="3"/>
  <c r="K55" i="3"/>
  <c r="K66" i="3"/>
  <c r="J55" i="3"/>
  <c r="J66" i="3"/>
  <c r="I55" i="3"/>
  <c r="I66" i="3"/>
  <c r="H55" i="3"/>
  <c r="H66" i="3"/>
  <c r="G55" i="3"/>
  <c r="G66" i="3"/>
  <c r="F55" i="3"/>
  <c r="F66" i="3"/>
  <c r="E55" i="3"/>
  <c r="E66" i="3"/>
  <c r="D55" i="3"/>
  <c r="D66" i="3"/>
  <c r="C55" i="3"/>
  <c r="C66" i="3"/>
  <c r="B55" i="3"/>
  <c r="B66" i="3"/>
  <c r="U54" i="3"/>
  <c r="U65" i="3"/>
  <c r="T54" i="3"/>
  <c r="T65" i="3"/>
  <c r="S54" i="3"/>
  <c r="S65" i="3"/>
  <c r="R54" i="3"/>
  <c r="R65" i="3"/>
  <c r="Q54" i="3"/>
  <c r="Q65" i="3"/>
  <c r="P54" i="3"/>
  <c r="P65" i="3"/>
  <c r="O54" i="3"/>
  <c r="O65" i="3"/>
  <c r="N54" i="3"/>
  <c r="N65" i="3"/>
  <c r="M54" i="3"/>
  <c r="M65" i="3"/>
  <c r="L54" i="3"/>
  <c r="L65" i="3"/>
  <c r="K54" i="3"/>
  <c r="K65" i="3"/>
  <c r="J54" i="3"/>
  <c r="J65" i="3"/>
  <c r="I54" i="3"/>
  <c r="I65" i="3"/>
  <c r="H54" i="3"/>
  <c r="H65" i="3"/>
  <c r="G54" i="3"/>
  <c r="G65" i="3"/>
  <c r="F54" i="3"/>
  <c r="F65" i="3"/>
  <c r="E54" i="3"/>
  <c r="E65" i="3"/>
  <c r="D54" i="3"/>
  <c r="D65" i="3"/>
  <c r="C54" i="3"/>
  <c r="C65" i="3"/>
  <c r="B54" i="3"/>
  <c r="B65" i="3"/>
  <c r="U53" i="3"/>
  <c r="U64" i="3"/>
  <c r="T53" i="3"/>
  <c r="T64" i="3"/>
  <c r="S53" i="3"/>
  <c r="S64" i="3"/>
  <c r="R53" i="3"/>
  <c r="R64" i="3"/>
  <c r="Q53" i="3"/>
  <c r="Q64" i="3"/>
  <c r="P53" i="3"/>
  <c r="P64" i="3"/>
  <c r="O53" i="3"/>
  <c r="O64" i="3"/>
  <c r="N53" i="3"/>
  <c r="N64" i="3"/>
  <c r="M53" i="3"/>
  <c r="M64" i="3"/>
  <c r="L53" i="3"/>
  <c r="L64" i="3"/>
  <c r="K53" i="3"/>
  <c r="K64" i="3"/>
  <c r="J53" i="3"/>
  <c r="J64" i="3"/>
  <c r="I53" i="3"/>
  <c r="I64" i="3"/>
  <c r="H53" i="3"/>
  <c r="H64" i="3"/>
  <c r="G53" i="3"/>
  <c r="G64" i="3"/>
  <c r="F53" i="3"/>
  <c r="F64" i="3"/>
  <c r="E53" i="3"/>
  <c r="E64" i="3"/>
  <c r="D53" i="3"/>
  <c r="D64" i="3"/>
  <c r="C53" i="3"/>
  <c r="C64" i="3"/>
  <c r="B53" i="3"/>
  <c r="B64" i="3"/>
  <c r="U59" i="1"/>
  <c r="U70" i="1"/>
  <c r="T59" i="1"/>
  <c r="T70" i="1"/>
  <c r="S59" i="1"/>
  <c r="S70" i="1"/>
  <c r="R59" i="1"/>
  <c r="R70" i="1"/>
  <c r="Q59" i="1"/>
  <c r="Q70" i="1"/>
  <c r="P59" i="1"/>
  <c r="P70" i="1"/>
  <c r="O59" i="1"/>
  <c r="O70" i="1"/>
  <c r="N59" i="1"/>
  <c r="N70" i="1"/>
  <c r="M59" i="1"/>
  <c r="M70" i="1"/>
  <c r="L59" i="1"/>
  <c r="L70" i="1"/>
  <c r="K59" i="1"/>
  <c r="K70" i="1"/>
  <c r="J59" i="1"/>
  <c r="J70" i="1"/>
  <c r="I59" i="1"/>
  <c r="I70" i="1"/>
  <c r="H59" i="1"/>
  <c r="H70" i="1"/>
  <c r="G59" i="1"/>
  <c r="G70" i="1"/>
  <c r="F59" i="1"/>
  <c r="F70" i="1"/>
  <c r="E59" i="1"/>
  <c r="E70" i="1"/>
  <c r="D59" i="1"/>
  <c r="D70" i="1"/>
  <c r="C59" i="1"/>
  <c r="C70" i="1"/>
  <c r="B59" i="1"/>
  <c r="B70" i="1"/>
  <c r="U58" i="1"/>
  <c r="U69" i="1"/>
  <c r="T58" i="1"/>
  <c r="T69" i="1"/>
  <c r="S58" i="1"/>
  <c r="S69" i="1"/>
  <c r="R58" i="1"/>
  <c r="R69" i="1"/>
  <c r="Q58" i="1"/>
  <c r="Q69" i="1"/>
  <c r="P58" i="1"/>
  <c r="P69" i="1"/>
  <c r="O58" i="1"/>
  <c r="O69" i="1"/>
  <c r="N58" i="1"/>
  <c r="N69" i="1"/>
  <c r="M58" i="1"/>
  <c r="M69" i="1"/>
  <c r="L58" i="1"/>
  <c r="L69" i="1"/>
  <c r="K58" i="1"/>
  <c r="K69" i="1"/>
  <c r="J58" i="1"/>
  <c r="J69" i="1"/>
  <c r="I58" i="1"/>
  <c r="I69" i="1"/>
  <c r="H58" i="1"/>
  <c r="H69" i="1"/>
  <c r="G58" i="1"/>
  <c r="G69" i="1"/>
  <c r="F58" i="1"/>
  <c r="F69" i="1"/>
  <c r="E58" i="1"/>
  <c r="E69" i="1"/>
  <c r="D58" i="1"/>
  <c r="D69" i="1"/>
  <c r="C58" i="1"/>
  <c r="C69" i="1"/>
  <c r="B58" i="1"/>
  <c r="B69" i="1"/>
  <c r="U57" i="1"/>
  <c r="U68" i="1"/>
  <c r="T57" i="1"/>
  <c r="T68" i="1"/>
  <c r="S57" i="1"/>
  <c r="S68" i="1"/>
  <c r="R57" i="1"/>
  <c r="R68" i="1"/>
  <c r="Q57" i="1"/>
  <c r="Q68" i="1"/>
  <c r="P57" i="1"/>
  <c r="P68" i="1"/>
  <c r="O57" i="1"/>
  <c r="O68" i="1"/>
  <c r="N57" i="1"/>
  <c r="N68" i="1"/>
  <c r="M57" i="1"/>
  <c r="M68" i="1"/>
  <c r="L57" i="1"/>
  <c r="L68" i="1"/>
  <c r="K57" i="1"/>
  <c r="K68" i="1"/>
  <c r="J57" i="1"/>
  <c r="J68" i="1"/>
  <c r="I57" i="1"/>
  <c r="I68" i="1"/>
  <c r="H57" i="1"/>
  <c r="H68" i="1"/>
  <c r="G57" i="1"/>
  <c r="G68" i="1"/>
  <c r="F57" i="1"/>
  <c r="F68" i="1"/>
  <c r="E57" i="1"/>
  <c r="E68" i="1"/>
  <c r="D57" i="1"/>
  <c r="D68" i="1"/>
  <c r="C57" i="1"/>
  <c r="C68" i="1"/>
  <c r="B57" i="1"/>
  <c r="B68" i="1"/>
  <c r="U56" i="1"/>
  <c r="U67" i="1"/>
  <c r="T56" i="1"/>
  <c r="T67" i="1"/>
  <c r="S56" i="1"/>
  <c r="S67" i="1"/>
  <c r="R56" i="1"/>
  <c r="R67" i="1"/>
  <c r="Q56" i="1"/>
  <c r="Q67" i="1"/>
  <c r="P56" i="1"/>
  <c r="P67" i="1"/>
  <c r="O56" i="1"/>
  <c r="O67" i="1"/>
  <c r="N56" i="1"/>
  <c r="N67" i="1"/>
  <c r="M56" i="1"/>
  <c r="M67" i="1"/>
  <c r="L56" i="1"/>
  <c r="L67" i="1"/>
  <c r="K56" i="1"/>
  <c r="K67" i="1"/>
  <c r="J56" i="1"/>
  <c r="J67" i="1"/>
  <c r="I56" i="1"/>
  <c r="I67" i="1"/>
  <c r="H56" i="1"/>
  <c r="H67" i="1"/>
  <c r="G56" i="1"/>
  <c r="G67" i="1"/>
  <c r="F56" i="1"/>
  <c r="F67" i="1"/>
  <c r="E56" i="1"/>
  <c r="E67" i="1"/>
  <c r="D56" i="1"/>
  <c r="D67" i="1"/>
  <c r="C56" i="1"/>
  <c r="C67" i="1"/>
  <c r="B56" i="1"/>
  <c r="B67" i="1"/>
  <c r="U55" i="1"/>
  <c r="U66" i="1"/>
  <c r="T55" i="1"/>
  <c r="T66" i="1"/>
  <c r="S55" i="1"/>
  <c r="S66" i="1"/>
  <c r="R55" i="1"/>
  <c r="R66" i="1"/>
  <c r="Q55" i="1"/>
  <c r="Q66" i="1"/>
  <c r="P55" i="1"/>
  <c r="P66" i="1"/>
  <c r="O55" i="1"/>
  <c r="O66" i="1"/>
  <c r="N55" i="1"/>
  <c r="N66" i="1"/>
  <c r="M55" i="1"/>
  <c r="M66" i="1"/>
  <c r="L55" i="1"/>
  <c r="L66" i="1"/>
  <c r="K55" i="1"/>
  <c r="K66" i="1"/>
  <c r="J55" i="1"/>
  <c r="J66" i="1"/>
  <c r="I55" i="1"/>
  <c r="I66" i="1"/>
  <c r="H55" i="1"/>
  <c r="H66" i="1"/>
  <c r="G55" i="1"/>
  <c r="G66" i="1"/>
  <c r="F55" i="1"/>
  <c r="F66" i="1"/>
  <c r="E55" i="1"/>
  <c r="E66" i="1"/>
  <c r="D55" i="1"/>
  <c r="D66" i="1"/>
  <c r="C55" i="1"/>
  <c r="C66" i="1"/>
  <c r="B55" i="1"/>
  <c r="B66" i="1"/>
  <c r="U54" i="1"/>
  <c r="U65" i="1"/>
  <c r="T54" i="1"/>
  <c r="T65" i="1"/>
  <c r="S54" i="1"/>
  <c r="S65" i="1"/>
  <c r="R54" i="1"/>
  <c r="R65" i="1"/>
  <c r="Q54" i="1"/>
  <c r="Q65" i="1"/>
  <c r="P54" i="1"/>
  <c r="P65" i="1"/>
  <c r="O54" i="1"/>
  <c r="O65" i="1"/>
  <c r="N54" i="1"/>
  <c r="N65" i="1"/>
  <c r="M54" i="1"/>
  <c r="M65" i="1"/>
  <c r="L54" i="1"/>
  <c r="L65" i="1"/>
  <c r="K54" i="1"/>
  <c r="K65" i="1"/>
  <c r="J54" i="1"/>
  <c r="J65" i="1"/>
  <c r="I54" i="1"/>
  <c r="I65" i="1"/>
  <c r="H54" i="1"/>
  <c r="H65" i="1"/>
  <c r="G54" i="1"/>
  <c r="G65" i="1"/>
  <c r="F54" i="1"/>
  <c r="F65" i="1"/>
  <c r="E54" i="1"/>
  <c r="E65" i="1"/>
  <c r="D54" i="1"/>
  <c r="D65" i="1"/>
  <c r="C54" i="1"/>
  <c r="C65" i="1"/>
  <c r="B54" i="1"/>
  <c r="B65" i="1"/>
  <c r="U53" i="1"/>
  <c r="U64" i="1"/>
  <c r="T53" i="1"/>
  <c r="T64" i="1"/>
  <c r="S53" i="1"/>
  <c r="S64" i="1"/>
  <c r="R53" i="1"/>
  <c r="R64" i="1"/>
  <c r="Q53" i="1"/>
  <c r="Q64" i="1"/>
  <c r="P53" i="1"/>
  <c r="P64" i="1"/>
  <c r="O53" i="1"/>
  <c r="O64" i="1"/>
  <c r="N53" i="1"/>
  <c r="N64" i="1"/>
  <c r="M53" i="1"/>
  <c r="M64" i="1"/>
  <c r="L53" i="1"/>
  <c r="L64" i="1"/>
  <c r="K53" i="1"/>
  <c r="K64" i="1"/>
  <c r="J53" i="1"/>
  <c r="J64" i="1"/>
  <c r="I53" i="1"/>
  <c r="I64" i="1"/>
  <c r="H53" i="1"/>
  <c r="H64" i="1"/>
  <c r="G53" i="1"/>
  <c r="G64" i="1"/>
  <c r="F53" i="1"/>
  <c r="F64" i="1"/>
  <c r="E53" i="1"/>
  <c r="E64" i="1"/>
  <c r="D53" i="1"/>
  <c r="D64" i="1"/>
  <c r="C53" i="1"/>
  <c r="C64" i="1"/>
  <c r="B53" i="1"/>
  <c r="B64" i="1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B60" i="3"/>
  <c r="B60" i="5"/>
  <c r="B60" i="4"/>
  <c r="B60" i="1"/>
</calcChain>
</file>

<file path=xl/sharedStrings.xml><?xml version="1.0" encoding="utf-8"?>
<sst xmlns="http://schemas.openxmlformats.org/spreadsheetml/2006/main" count="328" uniqueCount="48">
  <si>
    <t>NEW DO MA</t>
  </si>
  <si>
    <t>DO MA TOP</t>
  </si>
  <si>
    <t>DO MA MIDDLE</t>
  </si>
  <si>
    <t>DO MA BOTTOM</t>
  </si>
  <si>
    <t>WARM DO MA</t>
  </si>
  <si>
    <t>COLD DO MA</t>
  </si>
  <si>
    <t>LOST DO MA</t>
  </si>
  <si>
    <t>Donators per segment</t>
  </si>
  <si>
    <t>Period</t>
  </si>
  <si>
    <t>DO MA</t>
  </si>
  <si>
    <t>DO  MA</t>
  </si>
  <si>
    <t>Revenue per segment</t>
  </si>
  <si>
    <t>Yearly Revenue</t>
  </si>
  <si>
    <t>Cumulated Revenue</t>
  </si>
  <si>
    <t>Discounted Yearly Revenue</t>
  </si>
  <si>
    <t>Discounted Cumulated Revenue</t>
  </si>
  <si>
    <t>NEW DO WW</t>
  </si>
  <si>
    <t>DO WW TOP</t>
  </si>
  <si>
    <t>DO WW MIDDLE</t>
  </si>
  <si>
    <t>DO WW BOTTOM</t>
  </si>
  <si>
    <t>WARM DO WW</t>
  </si>
  <si>
    <t>COLD DO WW</t>
  </si>
  <si>
    <t>LOST DO WW</t>
  </si>
  <si>
    <t>DO WW</t>
  </si>
  <si>
    <t>DO  WW</t>
  </si>
  <si>
    <t>NEW PA MA</t>
  </si>
  <si>
    <t>PA MA TOP</t>
  </si>
  <si>
    <t>PA MA MIDDLE</t>
  </si>
  <si>
    <t>PA MA BOTTOM</t>
  </si>
  <si>
    <t>WARM PA MA</t>
  </si>
  <si>
    <t>COLD PA MA</t>
  </si>
  <si>
    <t>LOST PA MA</t>
  </si>
  <si>
    <t>PAnators per segment</t>
  </si>
  <si>
    <t>NEW PA WW</t>
  </si>
  <si>
    <t>PA WW TOP</t>
  </si>
  <si>
    <t>PA WW MIDDLE</t>
  </si>
  <si>
    <t>PA WW BOTTOM</t>
  </si>
  <si>
    <t>WARM PA WW</t>
  </si>
  <si>
    <t>COLD PA WW</t>
  </si>
  <si>
    <t>LOST PA WW</t>
  </si>
  <si>
    <t>PA WW</t>
  </si>
  <si>
    <t>Transition matrix</t>
  </si>
  <si>
    <t>Revenue per segment %</t>
  </si>
  <si>
    <t>Discounted revenue per segment</t>
  </si>
  <si>
    <t>2016/2017</t>
  </si>
  <si>
    <t>2017/2018</t>
  </si>
  <si>
    <t>2018/2019</t>
  </si>
  <si>
    <t>2019/2020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</si>
</sst>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\ _F_t_-;\-* #,##0.00\ _F_t_-;_-* &quot;-&quot;??\ _F_t_-;_-@_-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2"/>
      <color theme="1"/>
      <name val="Calibri"/>
      <family val="2"/>
      <charset val="238"/>
      <scheme val="minor"/>
    </font>
    <font>
      <i/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i/>
      <sz val="12"/>
      <color rgb="FFFF0000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0" fillId="0" borderId="0" xfId="0" applyFont="1"/>
    <xf numFmtId="0" fontId="2" fillId="0" borderId="8" xfId="0" applyFont="1" applyBorder="1"/>
    <xf numFmtId="0" fontId="2" fillId="0" borderId="9" xfId="0" applyFont="1" applyBorder="1"/>
    <xf numFmtId="0" fontId="5" fillId="0" borderId="0" xfId="0" applyFont="1"/>
    <xf numFmtId="0" fontId="2" fillId="0" borderId="1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1" fontId="0" fillId="0" borderId="0" xfId="0" applyNumberFormat="1" applyBorder="1"/>
    <xf numFmtId="1" fontId="0" fillId="0" borderId="4" xfId="0" applyNumberFormat="1" applyBorder="1"/>
    <xf numFmtId="1" fontId="0" fillId="0" borderId="5" xfId="0" applyNumberFormat="1" applyBorder="1"/>
    <xf numFmtId="1" fontId="0" fillId="0" borderId="6" xfId="0" applyNumberFormat="1" applyBorder="1"/>
    <xf numFmtId="1" fontId="0" fillId="0" borderId="0" xfId="0" applyNumberFormat="1"/>
    <xf numFmtId="1" fontId="2" fillId="0" borderId="8" xfId="0" applyNumberFormat="1" applyFont="1" applyBorder="1"/>
    <xf numFmtId="1" fontId="2" fillId="0" borderId="9" xfId="0" applyNumberFormat="1" applyFont="1" applyBorder="1"/>
    <xf numFmtId="1" fontId="0" fillId="0" borderId="7" xfId="0" applyNumberFormat="1" applyFont="1" applyBorder="1"/>
    <xf numFmtId="1" fontId="0" fillId="0" borderId="8" xfId="0" applyNumberFormat="1" applyFont="1" applyBorder="1"/>
    <xf numFmtId="1" fontId="0" fillId="0" borderId="9" xfId="0" applyNumberFormat="1" applyFont="1" applyBorder="1"/>
    <xf numFmtId="9" fontId="0" fillId="0" borderId="0" xfId="3" applyFont="1"/>
    <xf numFmtId="0" fontId="6" fillId="0" borderId="0" xfId="0" applyFont="1"/>
    <xf numFmtId="0" fontId="7" fillId="0" borderId="0" xfId="0" applyFont="1"/>
    <xf numFmtId="0" fontId="8" fillId="0" borderId="0" xfId="0" applyFont="1"/>
    <xf numFmtId="9" fontId="0" fillId="0" borderId="0" xfId="3" applyFont="1" applyBorder="1"/>
    <xf numFmtId="9" fontId="0" fillId="0" borderId="4" xfId="3" applyFont="1" applyBorder="1"/>
    <xf numFmtId="9" fontId="0" fillId="0" borderId="5" xfId="3" applyFont="1" applyBorder="1"/>
    <xf numFmtId="9" fontId="0" fillId="0" borderId="6" xfId="3" applyFont="1" applyBorder="1"/>
    <xf numFmtId="9" fontId="9" fillId="0" borderId="0" xfId="0" applyNumberFormat="1" applyFont="1"/>
    <xf numFmtId="1" fontId="0" fillId="0" borderId="0" xfId="3" applyNumberFormat="1" applyFont="1" applyBorder="1"/>
    <xf numFmtId="1" fontId="0" fillId="0" borderId="4" xfId="3" applyNumberFormat="1" applyFont="1" applyBorder="1"/>
    <xf numFmtId="1" fontId="0" fillId="0" borderId="5" xfId="3" applyNumberFormat="1" applyFont="1" applyBorder="1"/>
    <xf numFmtId="1" fontId="0" fillId="0" borderId="6" xfId="3" applyNumberFormat="1" applyFont="1" applyBorder="1"/>
    <xf numFmtId="43" fontId="0" fillId="0" borderId="0" xfId="4" applyFont="1"/>
  </cellXfs>
  <cellStyles count="5">
    <cellStyle name="Comma" xfId="4" builtinId="3"/>
    <cellStyle name="Followed Hyperlink" xfId="2" builtinId="9" hidden="1"/>
    <cellStyle name="Hyperlink" xfId="1" builtinId="8" hidden="1"/>
    <cellStyle name="Normal" xfId="0" builtinId="0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D222B4E1-04BB-4E8B-B820-5BFAE91774B3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85"/>
  <sheetViews>
    <sheetView showGridLines="0" tabSelected="1" topLeftCell="A21" zoomScale="40" zoomScaleNormal="40" workbookViewId="0">
      <selection activeCell="AB16" sqref="AB16"/>
    </sheetView>
  </sheetViews>
  <sheetFormatPr defaultColWidth="11" defaultRowHeight="15.75" x14ac:dyDescent="0.25"/>
  <cols>
    <col min="1" max="1" width="27.625" style="1" bestFit="1" customWidth="1"/>
    <col min="2" max="2" width="13.625" bestFit="1" customWidth="1"/>
    <col min="30" max="31" width="12" bestFit="1" customWidth="1"/>
    <col min="32" max="35" width="13" bestFit="1" customWidth="1"/>
    <col min="36" max="36" width="14.25" bestFit="1" customWidth="1"/>
  </cols>
  <sheetData>
    <row r="1" spans="1:36" x14ac:dyDescent="0.25">
      <c r="A1" s="7" t="s">
        <v>41</v>
      </c>
    </row>
    <row r="2" spans="1:36" x14ac:dyDescent="0.25">
      <c r="A2" s="25"/>
      <c r="B2" s="25" t="s">
        <v>0</v>
      </c>
      <c r="C2" s="25" t="s">
        <v>1</v>
      </c>
      <c r="D2" s="25" t="s">
        <v>2</v>
      </c>
      <c r="E2" s="25" t="s">
        <v>3</v>
      </c>
      <c r="F2" s="25" t="s">
        <v>4</v>
      </c>
      <c r="G2" s="25" t="s">
        <v>5</v>
      </c>
      <c r="H2" s="25" t="s">
        <v>6</v>
      </c>
    </row>
    <row r="3" spans="1:36" x14ac:dyDescent="0.25">
      <c r="A3" s="25" t="s">
        <v>0</v>
      </c>
      <c r="B3" s="22">
        <v>0</v>
      </c>
      <c r="C3" s="22">
        <v>4.8100490196078399E-2</v>
      </c>
      <c r="D3" s="22">
        <v>0.16651348039215699</v>
      </c>
      <c r="E3" s="22">
        <v>0.23406862745098</v>
      </c>
      <c r="F3" s="22">
        <v>0.47365196078431399</v>
      </c>
      <c r="G3" s="22">
        <v>0</v>
      </c>
      <c r="H3" s="22">
        <v>0</v>
      </c>
    </row>
    <row r="4" spans="1:36" x14ac:dyDescent="0.25">
      <c r="A4" s="25" t="s">
        <v>1</v>
      </c>
      <c r="B4" s="22">
        <v>0</v>
      </c>
      <c r="C4" s="22">
        <v>0.55600907029478497</v>
      </c>
      <c r="D4" s="22">
        <v>0.24183673469387801</v>
      </c>
      <c r="E4" s="22">
        <v>2.9818594104308399E-2</v>
      </c>
      <c r="F4" s="22">
        <v>0.10997732426303899</v>
      </c>
      <c r="G4" s="22">
        <v>0</v>
      </c>
      <c r="H4" s="22">
        <v>0</v>
      </c>
    </row>
    <row r="5" spans="1:36" x14ac:dyDescent="0.25">
      <c r="A5" s="25" t="s">
        <v>2</v>
      </c>
      <c r="B5" s="22">
        <v>0</v>
      </c>
      <c r="C5" s="22">
        <v>9.3183582157695302E-2</v>
      </c>
      <c r="D5" s="22">
        <v>0.46861160571611199</v>
      </c>
      <c r="E5" s="22">
        <v>0.14335935716568499</v>
      </c>
      <c r="F5" s="22">
        <v>0.215678217595763</v>
      </c>
      <c r="G5" s="22">
        <v>0</v>
      </c>
      <c r="H5" s="22">
        <v>0</v>
      </c>
    </row>
    <row r="6" spans="1:36" x14ac:dyDescent="0.25">
      <c r="A6" s="25" t="s">
        <v>3</v>
      </c>
      <c r="B6" s="22">
        <v>0</v>
      </c>
      <c r="C6" s="22">
        <v>8.3218783668313704E-3</v>
      </c>
      <c r="D6" s="22">
        <v>0.121967529813872</v>
      </c>
      <c r="E6" s="22">
        <v>0.47542445294795099</v>
      </c>
      <c r="F6" s="22">
        <v>0.30928409555299602</v>
      </c>
      <c r="G6" s="22">
        <v>0</v>
      </c>
      <c r="H6" s="22">
        <v>0</v>
      </c>
    </row>
    <row r="7" spans="1:36" x14ac:dyDescent="0.25">
      <c r="A7" s="25" t="s">
        <v>4</v>
      </c>
      <c r="B7" s="22">
        <v>0</v>
      </c>
      <c r="C7" s="22">
        <v>1.6702355460385399E-2</v>
      </c>
      <c r="D7" s="22">
        <v>9.5449678800856502E-2</v>
      </c>
      <c r="E7" s="22">
        <v>0.17093147751606</v>
      </c>
      <c r="F7" s="22">
        <v>0</v>
      </c>
      <c r="G7" s="22">
        <v>0.690524625267666</v>
      </c>
      <c r="H7" s="22">
        <v>0</v>
      </c>
    </row>
    <row r="8" spans="1:36" x14ac:dyDescent="0.25">
      <c r="A8" s="25" t="s">
        <v>5</v>
      </c>
      <c r="B8" s="22">
        <v>0</v>
      </c>
      <c r="C8" s="22">
        <v>4.07007609272695E-3</v>
      </c>
      <c r="D8" s="22">
        <v>2.75172535834366E-2</v>
      </c>
      <c r="E8" s="22">
        <v>6.4324898248097701E-2</v>
      </c>
      <c r="F8" s="22">
        <v>0</v>
      </c>
      <c r="G8" s="22">
        <v>0</v>
      </c>
      <c r="H8" s="22">
        <v>0.88913466643072003</v>
      </c>
    </row>
    <row r="9" spans="1:36" x14ac:dyDescent="0.25">
      <c r="A9" s="25" t="s">
        <v>6</v>
      </c>
      <c r="B9" s="22">
        <v>0</v>
      </c>
      <c r="C9" s="22">
        <v>1.13183558925221E-3</v>
      </c>
      <c r="D9" s="22">
        <v>7.0856008806611196E-3</v>
      </c>
      <c r="E9" s="22">
        <v>1.39541374017396E-2</v>
      </c>
      <c r="F9" s="22">
        <v>0</v>
      </c>
      <c r="G9" s="22">
        <v>0</v>
      </c>
      <c r="H9" s="22">
        <v>0.97061878847078198</v>
      </c>
    </row>
    <row r="10" spans="1:36" x14ac:dyDescent="0.25">
      <c r="A10" s="25"/>
    </row>
    <row r="12" spans="1:36" ht="16.5" thickBot="1" x14ac:dyDescent="0.3">
      <c r="A12" s="7" t="s">
        <v>7</v>
      </c>
    </row>
    <row r="13" spans="1:36" ht="16.5" thickBot="1" x14ac:dyDescent="0.3">
      <c r="A13" s="8" t="s">
        <v>8</v>
      </c>
      <c r="B13" s="5">
        <v>0</v>
      </c>
      <c r="C13" s="5">
        <v>1</v>
      </c>
      <c r="D13" s="5">
        <v>2</v>
      </c>
      <c r="E13" s="5">
        <v>3</v>
      </c>
      <c r="F13" s="5">
        <v>4</v>
      </c>
      <c r="G13" s="5">
        <v>5</v>
      </c>
      <c r="H13" s="5">
        <v>6</v>
      </c>
      <c r="I13" s="5">
        <v>7</v>
      </c>
      <c r="J13" s="5">
        <v>8</v>
      </c>
      <c r="K13" s="5">
        <v>9</v>
      </c>
      <c r="L13" s="5">
        <v>10</v>
      </c>
      <c r="M13" s="5">
        <v>11</v>
      </c>
      <c r="N13" s="5">
        <v>12</v>
      </c>
      <c r="O13" s="5">
        <v>13</v>
      </c>
      <c r="P13" s="5">
        <v>14</v>
      </c>
      <c r="Q13" s="5">
        <v>15</v>
      </c>
      <c r="R13" s="5">
        <v>16</v>
      </c>
      <c r="S13" s="5">
        <v>17</v>
      </c>
      <c r="T13" s="5">
        <v>18</v>
      </c>
      <c r="U13" s="6">
        <v>19</v>
      </c>
      <c r="AD13" t="s">
        <v>6</v>
      </c>
      <c r="AE13" t="s">
        <v>5</v>
      </c>
      <c r="AF13" t="s">
        <v>4</v>
      </c>
      <c r="AG13" t="s">
        <v>3</v>
      </c>
      <c r="AH13" t="s">
        <v>2</v>
      </c>
      <c r="AI13" t="s">
        <v>1</v>
      </c>
      <c r="AJ13" t="s">
        <v>0</v>
      </c>
    </row>
    <row r="14" spans="1:36" x14ac:dyDescent="0.25">
      <c r="A14" s="9" t="s">
        <v>0</v>
      </c>
      <c r="B14" s="12">
        <v>9562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3">
        <v>0</v>
      </c>
      <c r="AC14" t="s">
        <v>44</v>
      </c>
      <c r="AD14" s="35">
        <v>72651</v>
      </c>
      <c r="AE14" s="35">
        <v>12899</v>
      </c>
      <c r="AF14" s="35">
        <v>17111</v>
      </c>
      <c r="AG14" s="35">
        <v>24458</v>
      </c>
      <c r="AH14" s="35">
        <v>20684</v>
      </c>
      <c r="AI14" s="35">
        <v>8260</v>
      </c>
      <c r="AJ14" s="35">
        <v>9562</v>
      </c>
    </row>
    <row r="15" spans="1:36" x14ac:dyDescent="0.25">
      <c r="A15" s="9" t="s">
        <v>1</v>
      </c>
      <c r="B15" s="12">
        <v>8260</v>
      </c>
      <c r="C15" s="12">
        <v>7604.0404255330604</v>
      </c>
      <c r="D15" s="12">
        <v>6593.6121713064204</v>
      </c>
      <c r="E15" s="12">
        <v>5648.7343453288404</v>
      </c>
      <c r="F15" s="12">
        <v>4829.2069287135901</v>
      </c>
      <c r="G15" s="12">
        <v>4146.7489316944902</v>
      </c>
      <c r="H15" s="12">
        <v>3592.8750435608499</v>
      </c>
      <c r="I15" s="12">
        <v>3151.5355146229499</v>
      </c>
      <c r="J15" s="12">
        <v>2804.6115105874301</v>
      </c>
      <c r="K15" s="12">
        <v>2534.8906661831002</v>
      </c>
      <c r="L15" s="12">
        <v>2327.2821927186101</v>
      </c>
      <c r="M15" s="12">
        <v>2169.1234978886901</v>
      </c>
      <c r="N15" s="12">
        <v>2050.06603468096</v>
      </c>
      <c r="O15" s="12">
        <v>1961.7918483395999</v>
      </c>
      <c r="P15" s="12">
        <v>1897.6870359171301</v>
      </c>
      <c r="Q15" s="12">
        <v>1852.53030688341</v>
      </c>
      <c r="R15" s="12">
        <v>1822.2197096449099</v>
      </c>
      <c r="S15" s="12">
        <v>1803.54334796849</v>
      </c>
      <c r="T15" s="12">
        <v>1793.9920367865</v>
      </c>
      <c r="U15" s="13">
        <v>1791.6087425253299</v>
      </c>
      <c r="AC15" t="s">
        <v>45</v>
      </c>
      <c r="AD15" s="35">
        <v>84119.948062289899</v>
      </c>
      <c r="AE15" s="35">
        <v>11815.566862955</v>
      </c>
      <c r="AF15" s="35">
        <v>17463.0314092183</v>
      </c>
      <c r="AG15" s="35">
        <v>21845.959427457201</v>
      </c>
      <c r="AH15" s="35">
        <v>18768.5781224161</v>
      </c>
      <c r="AI15" s="35">
        <v>7604.0404255330604</v>
      </c>
      <c r="AJ15" s="35">
        <v>0</v>
      </c>
    </row>
    <row r="16" spans="1:36" x14ac:dyDescent="0.25">
      <c r="A16" s="9" t="s">
        <v>2</v>
      </c>
      <c r="B16" s="12">
        <v>20684</v>
      </c>
      <c r="C16" s="12">
        <v>18768.5781224161</v>
      </c>
      <c r="D16" s="12">
        <v>15886.620612296299</v>
      </c>
      <c r="E16" s="12">
        <v>13375.1813785209</v>
      </c>
      <c r="F16" s="12">
        <v>11392.4361567092</v>
      </c>
      <c r="G16" s="12">
        <v>9857.1917332467092</v>
      </c>
      <c r="H16" s="12">
        <v>8671.6581817935494</v>
      </c>
      <c r="I16" s="12">
        <v>7761.0603504179899</v>
      </c>
      <c r="J16" s="12">
        <v>7065.3978635451504</v>
      </c>
      <c r="K16" s="12">
        <v>6537.3989512794096</v>
      </c>
      <c r="L16" s="12">
        <v>6140.1157211447298</v>
      </c>
      <c r="M16" s="12">
        <v>5844.7318339097101</v>
      </c>
      <c r="N16" s="12">
        <v>5628.8019372827603</v>
      </c>
      <c r="O16" s="12">
        <v>5474.8555082998801</v>
      </c>
      <c r="P16" s="12">
        <v>5369.2998942628901</v>
      </c>
      <c r="Q16" s="12">
        <v>5301.5625580584501</v>
      </c>
      <c r="R16" s="12">
        <v>5263.4218246487899</v>
      </c>
      <c r="S16" s="12">
        <v>5248.4853421450298</v>
      </c>
      <c r="T16" s="12">
        <v>5251.7839523256898</v>
      </c>
      <c r="U16" s="13">
        <v>5269.4555774053497</v>
      </c>
      <c r="AC16" t="s">
        <v>46</v>
      </c>
      <c r="AD16" s="35">
        <v>94625.578163673301</v>
      </c>
      <c r="AE16" s="35">
        <v>12058.653219887899</v>
      </c>
      <c r="AF16" s="35">
        <v>11640.853298846199</v>
      </c>
      <c r="AG16" s="35">
        <v>18222.334609845799</v>
      </c>
      <c r="AH16" s="35">
        <v>15886.620612296299</v>
      </c>
      <c r="AI16" s="35">
        <v>6593.6121713064204</v>
      </c>
      <c r="AJ16" s="35">
        <v>0</v>
      </c>
    </row>
    <row r="17" spans="1:36" x14ac:dyDescent="0.25">
      <c r="A17" s="9" t="s">
        <v>3</v>
      </c>
      <c r="B17" s="12">
        <v>24458</v>
      </c>
      <c r="C17" s="12">
        <v>21845.959427457201</v>
      </c>
      <c r="D17" s="12">
        <v>18222.334609845799</v>
      </c>
      <c r="E17" s="12">
        <v>15223.3296415646</v>
      </c>
      <c r="F17" s="12">
        <v>12983.510641069101</v>
      </c>
      <c r="G17" s="12">
        <v>11358.4740627834</v>
      </c>
      <c r="H17" s="12">
        <v>10152.5150445777</v>
      </c>
      <c r="I17" s="12">
        <v>9253.9690922176906</v>
      </c>
      <c r="J17" s="12">
        <v>8584.84134410755</v>
      </c>
      <c r="K17" s="12">
        <v>8088.8658063391003</v>
      </c>
      <c r="L17" s="12">
        <v>7724.8752919586605</v>
      </c>
      <c r="M17" s="12">
        <v>7462.2040682816396</v>
      </c>
      <c r="N17" s="12">
        <v>7277.7261593784997</v>
      </c>
      <c r="O17" s="12">
        <v>7153.8471479052596</v>
      </c>
      <c r="P17" s="12">
        <v>7077.0956205205403</v>
      </c>
      <c r="Q17" s="12">
        <v>7037.1105734538596</v>
      </c>
      <c r="R17" s="12">
        <v>7025.8982854092401</v>
      </c>
      <c r="S17" s="12">
        <v>7037.2782241465902</v>
      </c>
      <c r="T17" s="12">
        <v>7066.4649628004499</v>
      </c>
      <c r="U17" s="13">
        <v>7109.7499529102297</v>
      </c>
      <c r="AC17" t="s">
        <v>47</v>
      </c>
      <c r="AD17" s="35">
        <v>105347.34477194199</v>
      </c>
      <c r="AE17" s="35">
        <v>8038.29586198164</v>
      </c>
      <c r="AF17" s="35">
        <v>9787.4241197788906</v>
      </c>
      <c r="AG17" s="35">
        <v>15223.3296415646</v>
      </c>
      <c r="AH17" s="35">
        <v>13375.1813785209</v>
      </c>
      <c r="AI17" s="35">
        <v>5648.7343453288404</v>
      </c>
      <c r="AJ17" s="35">
        <v>0</v>
      </c>
    </row>
    <row r="18" spans="1:36" x14ac:dyDescent="0.25">
      <c r="A18" s="9" t="s">
        <v>4</v>
      </c>
      <c r="B18" s="12">
        <v>17111</v>
      </c>
      <c r="C18" s="12">
        <v>17463.0314092183</v>
      </c>
      <c r="D18" s="12">
        <v>11640.853298846199</v>
      </c>
      <c r="E18" s="12">
        <v>9787.4241197788906</v>
      </c>
      <c r="F18" s="12">
        <v>8214.3017080078498</v>
      </c>
      <c r="G18" s="12">
        <v>7003.7969264107796</v>
      </c>
      <c r="H18" s="12">
        <v>6095.02527279485</v>
      </c>
      <c r="I18" s="12">
        <v>5405.4339971016298</v>
      </c>
      <c r="J18" s="12">
        <v>4882.5945672114003</v>
      </c>
      <c r="K18" s="12">
        <v>4487.4509779243299</v>
      </c>
      <c r="L18" s="12">
        <v>4190.5125912536696</v>
      </c>
      <c r="M18" s="12">
        <v>3969.4185508615501</v>
      </c>
      <c r="N18" s="12">
        <v>3807.0767786471201</v>
      </c>
      <c r="O18" s="12">
        <v>3690.3556989752301</v>
      </c>
      <c r="P18" s="12">
        <v>3609.1308407301499</v>
      </c>
      <c r="Q18" s="12">
        <v>3555.5766915653298</v>
      </c>
      <c r="R18" s="12">
        <v>3523.6342682788099</v>
      </c>
      <c r="S18" s="12">
        <v>3508.6068821311501</v>
      </c>
      <c r="T18" s="12">
        <v>3506.85106598328</v>
      </c>
      <c r="U18" s="13">
        <v>3515.53907076729</v>
      </c>
    </row>
    <row r="19" spans="1:36" x14ac:dyDescent="0.25">
      <c r="A19" s="9" t="s">
        <v>5</v>
      </c>
      <c r="B19" s="12">
        <v>12899</v>
      </c>
      <c r="C19" s="12">
        <v>11815.566862955</v>
      </c>
      <c r="D19" s="12">
        <v>12058.653219887899</v>
      </c>
      <c r="E19" s="12">
        <v>8038.29586198164</v>
      </c>
      <c r="F19" s="12">
        <v>6758.4573726460303</v>
      </c>
      <c r="G19" s="12">
        <v>5672.17760875767</v>
      </c>
      <c r="H19" s="12">
        <v>4836.2942480606298</v>
      </c>
      <c r="I19" s="12">
        <v>4208.7650424936201</v>
      </c>
      <c r="J19" s="12">
        <v>3732.58528525771</v>
      </c>
      <c r="K19" s="12">
        <v>3371.5517838575902</v>
      </c>
      <c r="L19" s="12">
        <v>3098.6954049382198</v>
      </c>
      <c r="M19" s="12">
        <v>2893.6521367548698</v>
      </c>
      <c r="N19" s="12">
        <v>2740.9812573641898</v>
      </c>
      <c r="O19" s="12">
        <v>2628.8802659405401</v>
      </c>
      <c r="P19" s="12">
        <v>2548.2814861392699</v>
      </c>
      <c r="Q19" s="12">
        <v>2492.1937213371598</v>
      </c>
      <c r="R19" s="12">
        <v>2455.2132625536001</v>
      </c>
      <c r="S19" s="12">
        <v>2433.1562326835301</v>
      </c>
      <c r="T19" s="12">
        <v>2422.7794524951701</v>
      </c>
      <c r="U19" s="13">
        <v>2421.5670182076201</v>
      </c>
    </row>
    <row r="20" spans="1:36" ht="16.5" thickBot="1" x14ac:dyDescent="0.3">
      <c r="A20" s="10" t="s">
        <v>6</v>
      </c>
      <c r="B20" s="14">
        <v>72651</v>
      </c>
      <c r="C20" s="14">
        <v>84119.948062289899</v>
      </c>
      <c r="D20" s="14">
        <v>94625.578163673301</v>
      </c>
      <c r="E20" s="14">
        <v>105347.34477194199</v>
      </c>
      <c r="F20" s="14">
        <v>112494.472281857</v>
      </c>
      <c r="G20" s="14">
        <v>118503.65102347</v>
      </c>
      <c r="H20" s="14">
        <v>123546.980769569</v>
      </c>
      <c r="I20" s="14">
        <v>127847.097642579</v>
      </c>
      <c r="J20" s="14">
        <v>131589.25654472201</v>
      </c>
      <c r="K20" s="14">
        <v>134908.027517254</v>
      </c>
      <c r="L20" s="14">
        <v>137905.79108794799</v>
      </c>
      <c r="M20" s="14">
        <v>140660.94859318799</v>
      </c>
      <c r="N20" s="14">
        <v>143233.79502056801</v>
      </c>
      <c r="O20" s="14">
        <v>145670.896476528</v>
      </c>
      <c r="P20" s="14">
        <v>148008.32505487101</v>
      </c>
      <c r="Q20" s="14">
        <v>150274.09046402099</v>
      </c>
      <c r="R20" s="14">
        <v>152489.98629712299</v>
      </c>
      <c r="S20" s="14">
        <v>154673.00152234</v>
      </c>
      <c r="T20" s="14">
        <v>156836.40507765999</v>
      </c>
      <c r="U20" s="15">
        <v>158990.58227799</v>
      </c>
    </row>
    <row r="23" spans="1:36" ht="16.5" thickBot="1" x14ac:dyDescent="0.3">
      <c r="A23" s="7" t="s">
        <v>11</v>
      </c>
    </row>
    <row r="24" spans="1:36" s="1" customFormat="1" ht="16.5" thickBot="1" x14ac:dyDescent="0.3">
      <c r="A24" s="8" t="s">
        <v>8</v>
      </c>
      <c r="B24" s="5">
        <v>0</v>
      </c>
      <c r="C24" s="5">
        <v>1</v>
      </c>
      <c r="D24" s="5">
        <v>2</v>
      </c>
      <c r="E24" s="5">
        <v>3</v>
      </c>
      <c r="F24" s="5">
        <v>4</v>
      </c>
      <c r="G24" s="5">
        <v>5</v>
      </c>
      <c r="H24" s="5">
        <v>6</v>
      </c>
      <c r="I24" s="5">
        <v>7</v>
      </c>
      <c r="J24" s="5">
        <v>8</v>
      </c>
      <c r="K24" s="5">
        <v>9</v>
      </c>
      <c r="L24" s="5">
        <v>10</v>
      </c>
      <c r="M24" s="5">
        <v>11</v>
      </c>
      <c r="N24" s="5">
        <v>12</v>
      </c>
      <c r="O24" s="5">
        <v>13</v>
      </c>
      <c r="P24" s="5">
        <v>14</v>
      </c>
      <c r="Q24" s="5">
        <v>15</v>
      </c>
      <c r="R24" s="5">
        <v>16</v>
      </c>
      <c r="S24" s="5">
        <v>17</v>
      </c>
      <c r="T24" s="5">
        <v>18</v>
      </c>
      <c r="U24" s="6">
        <v>19</v>
      </c>
    </row>
    <row r="25" spans="1:36" x14ac:dyDescent="0.25">
      <c r="A25" s="9" t="s">
        <v>0</v>
      </c>
      <c r="B25" s="12">
        <v>334670</v>
      </c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3">
        <v>0</v>
      </c>
    </row>
    <row r="26" spans="1:36" x14ac:dyDescent="0.25">
      <c r="A26" s="9" t="s">
        <v>1</v>
      </c>
      <c r="B26" s="12">
        <v>256060</v>
      </c>
      <c r="C26" s="12">
        <v>235725.253191525</v>
      </c>
      <c r="D26" s="12">
        <v>204401.977310499</v>
      </c>
      <c r="E26" s="12">
        <v>175110.76470519399</v>
      </c>
      <c r="F26" s="12">
        <v>149705.41479012099</v>
      </c>
      <c r="G26" s="12">
        <v>128549.216882529</v>
      </c>
      <c r="H26" s="12">
        <v>111379.126350386</v>
      </c>
      <c r="I26" s="12">
        <v>97697.600953311397</v>
      </c>
      <c r="J26" s="12">
        <v>86942.956828210401</v>
      </c>
      <c r="K26" s="12">
        <v>78581.610651676194</v>
      </c>
      <c r="L26" s="12">
        <v>72145.747974276805</v>
      </c>
      <c r="M26" s="12">
        <v>67242.828434549301</v>
      </c>
      <c r="N26" s="12">
        <v>63552.0470751096</v>
      </c>
      <c r="O26" s="12">
        <v>60815.547298527599</v>
      </c>
      <c r="P26" s="12">
        <v>58828.298113431003</v>
      </c>
      <c r="Q26" s="12">
        <v>57428.439513385703</v>
      </c>
      <c r="R26" s="12">
        <v>56488.810998992303</v>
      </c>
      <c r="S26" s="12">
        <v>55909.843787023201</v>
      </c>
      <c r="T26" s="12">
        <v>55613.753140381603</v>
      </c>
      <c r="U26" s="13">
        <v>55539.871018285099</v>
      </c>
    </row>
    <row r="27" spans="1:36" x14ac:dyDescent="0.25">
      <c r="A27" s="9" t="s">
        <v>2</v>
      </c>
      <c r="B27" s="12">
        <v>351628</v>
      </c>
      <c r="C27" s="12">
        <v>319065.828081074</v>
      </c>
      <c r="D27" s="12">
        <v>270072.55040903803</v>
      </c>
      <c r="E27" s="12">
        <v>227378.08343485501</v>
      </c>
      <c r="F27" s="12">
        <v>193671.41466405601</v>
      </c>
      <c r="G27" s="12">
        <v>167572.25946519399</v>
      </c>
      <c r="H27" s="12">
        <v>147418.18909048999</v>
      </c>
      <c r="I27" s="12">
        <v>131938.025957106</v>
      </c>
      <c r="J27" s="12">
        <v>120111.763680267</v>
      </c>
      <c r="K27" s="12">
        <v>111135.78217175</v>
      </c>
      <c r="L27" s="12">
        <v>104381.96725946</v>
      </c>
      <c r="M27" s="12">
        <v>99360.441176465101</v>
      </c>
      <c r="N27" s="12">
        <v>95689.632933807006</v>
      </c>
      <c r="O27" s="12">
        <v>93072.543641097902</v>
      </c>
      <c r="P27" s="12">
        <v>91278.098202469206</v>
      </c>
      <c r="Q27" s="12">
        <v>90126.563486993604</v>
      </c>
      <c r="R27" s="12">
        <v>89478.171019029396</v>
      </c>
      <c r="S27" s="12">
        <v>89224.250816465603</v>
      </c>
      <c r="T27" s="12">
        <v>89280.327189536707</v>
      </c>
      <c r="U27" s="13">
        <v>89580.744815890997</v>
      </c>
    </row>
    <row r="28" spans="1:36" x14ac:dyDescent="0.25">
      <c r="A28" s="9" t="s">
        <v>3</v>
      </c>
      <c r="B28" s="12">
        <v>782656</v>
      </c>
      <c r="C28" s="12">
        <v>699070.70167862996</v>
      </c>
      <c r="D28" s="12">
        <v>583114.70751506602</v>
      </c>
      <c r="E28" s="12">
        <v>487146.54853006802</v>
      </c>
      <c r="F28" s="12">
        <v>415472.34051421197</v>
      </c>
      <c r="G28" s="12">
        <v>363471.17000906903</v>
      </c>
      <c r="H28" s="12">
        <v>324880.48142648803</v>
      </c>
      <c r="I28" s="12">
        <v>296127.01095096598</v>
      </c>
      <c r="J28" s="12">
        <v>274714.92301144201</v>
      </c>
      <c r="K28" s="12">
        <v>258843.70580285101</v>
      </c>
      <c r="L28" s="12">
        <v>247196.00934267699</v>
      </c>
      <c r="M28" s="12">
        <v>238790.530185012</v>
      </c>
      <c r="N28" s="12">
        <v>232887.23710011199</v>
      </c>
      <c r="O28" s="12">
        <v>228923.10873296799</v>
      </c>
      <c r="P28" s="12">
        <v>226467.059856657</v>
      </c>
      <c r="Q28" s="12">
        <v>225187.53835052301</v>
      </c>
      <c r="R28" s="12">
        <v>224828.745133096</v>
      </c>
      <c r="S28" s="12">
        <v>225192.903172691</v>
      </c>
      <c r="T28" s="12">
        <v>226126.87880961399</v>
      </c>
      <c r="U28" s="13">
        <v>227511.998493127</v>
      </c>
    </row>
    <row r="29" spans="1:36" x14ac:dyDescent="0.25">
      <c r="A29" s="9" t="s">
        <v>4</v>
      </c>
      <c r="B29" s="12">
        <v>0</v>
      </c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3">
        <v>0</v>
      </c>
    </row>
    <row r="30" spans="1:36" x14ac:dyDescent="0.25">
      <c r="A30" s="9" t="s">
        <v>5</v>
      </c>
      <c r="B30" s="12">
        <v>0</v>
      </c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3">
        <v>0</v>
      </c>
    </row>
    <row r="31" spans="1:36" ht="16.5" thickBot="1" x14ac:dyDescent="0.3">
      <c r="A31" s="10" t="s">
        <v>6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5">
        <v>0</v>
      </c>
    </row>
    <row r="32" spans="1:36" x14ac:dyDescent="0.25">
      <c r="B32" s="22"/>
    </row>
    <row r="33" spans="1:21" ht="16.5" thickBot="1" x14ac:dyDescent="0.3">
      <c r="A33" s="7" t="s">
        <v>12</v>
      </c>
    </row>
    <row r="34" spans="1:21" s="1" customFormat="1" ht="16.5" thickBot="1" x14ac:dyDescent="0.3">
      <c r="A34" s="8" t="s">
        <v>8</v>
      </c>
      <c r="B34" s="5">
        <v>0</v>
      </c>
      <c r="C34" s="5">
        <v>1</v>
      </c>
      <c r="D34" s="5">
        <v>2</v>
      </c>
      <c r="E34" s="5">
        <v>3</v>
      </c>
      <c r="F34" s="5">
        <v>4</v>
      </c>
      <c r="G34" s="5">
        <v>5</v>
      </c>
      <c r="H34" s="5">
        <v>6</v>
      </c>
      <c r="I34" s="5">
        <v>7</v>
      </c>
      <c r="J34" s="5">
        <v>8</v>
      </c>
      <c r="K34" s="5">
        <v>9</v>
      </c>
      <c r="L34" s="5">
        <v>10</v>
      </c>
      <c r="M34" s="5">
        <v>11</v>
      </c>
      <c r="N34" s="5">
        <v>12</v>
      </c>
      <c r="O34" s="5">
        <v>13</v>
      </c>
      <c r="P34" s="5">
        <v>14</v>
      </c>
      <c r="Q34" s="5">
        <v>15</v>
      </c>
      <c r="R34" s="5">
        <v>16</v>
      </c>
      <c r="S34" s="5">
        <v>17</v>
      </c>
      <c r="T34" s="5">
        <v>18</v>
      </c>
      <c r="U34" s="6">
        <v>19</v>
      </c>
    </row>
    <row r="35" spans="1:21" ht="16.5" thickBot="1" x14ac:dyDescent="0.3">
      <c r="A35" s="10" t="s">
        <v>9</v>
      </c>
      <c r="B35" s="14">
        <v>1725014</v>
      </c>
      <c r="C35" s="14">
        <v>1253861.78295123</v>
      </c>
      <c r="D35" s="14">
        <v>1057589.2352346</v>
      </c>
      <c r="E35" s="14">
        <v>889635.39667011704</v>
      </c>
      <c r="F35" s="14">
        <v>758849.16996839002</v>
      </c>
      <c r="G35" s="14">
        <v>659592.64635679196</v>
      </c>
      <c r="H35" s="14">
        <v>583677.79686736397</v>
      </c>
      <c r="I35" s="14">
        <v>525762.63786138303</v>
      </c>
      <c r="J35" s="14">
        <v>481769.64351992001</v>
      </c>
      <c r="K35" s="14">
        <v>448561.098626277</v>
      </c>
      <c r="L35" s="14">
        <v>423723.72457641398</v>
      </c>
      <c r="M35" s="14">
        <v>405393.79979602701</v>
      </c>
      <c r="N35" s="14">
        <v>392128.91710902803</v>
      </c>
      <c r="O35" s="14">
        <v>382811.19967259403</v>
      </c>
      <c r="P35" s="14">
        <v>376573.45617255702</v>
      </c>
      <c r="Q35" s="14">
        <v>372742.54135090299</v>
      </c>
      <c r="R35" s="14">
        <v>370795.727151117</v>
      </c>
      <c r="S35" s="14">
        <v>370326.99777617998</v>
      </c>
      <c r="T35" s="14">
        <v>371020.95913953299</v>
      </c>
      <c r="U35" s="15">
        <v>372632.61432730302</v>
      </c>
    </row>
    <row r="37" spans="1:21" ht="16.5" thickBot="1" x14ac:dyDescent="0.3">
      <c r="A37" s="7" t="s">
        <v>13</v>
      </c>
    </row>
    <row r="38" spans="1:21" x14ac:dyDescent="0.25">
      <c r="A38" s="11" t="s">
        <v>8</v>
      </c>
      <c r="B38" s="2">
        <v>0</v>
      </c>
      <c r="C38" s="2">
        <v>1</v>
      </c>
      <c r="D38" s="2">
        <v>2</v>
      </c>
      <c r="E38" s="2">
        <v>3</v>
      </c>
      <c r="F38" s="2">
        <v>4</v>
      </c>
      <c r="G38" s="2">
        <v>5</v>
      </c>
      <c r="H38" s="2">
        <v>6</v>
      </c>
      <c r="I38" s="2">
        <v>7</v>
      </c>
      <c r="J38" s="2">
        <v>8</v>
      </c>
      <c r="K38" s="2">
        <v>9</v>
      </c>
      <c r="L38" s="2">
        <v>10</v>
      </c>
      <c r="M38" s="2">
        <v>11</v>
      </c>
      <c r="N38" s="2">
        <v>12</v>
      </c>
      <c r="O38" s="2">
        <v>13</v>
      </c>
      <c r="P38" s="2">
        <v>14</v>
      </c>
      <c r="Q38" s="2">
        <v>15</v>
      </c>
      <c r="R38" s="2">
        <v>16</v>
      </c>
      <c r="S38" s="2">
        <v>17</v>
      </c>
      <c r="T38" s="2">
        <v>18</v>
      </c>
      <c r="U38" s="3">
        <v>19</v>
      </c>
    </row>
    <row r="39" spans="1:21" ht="16.5" thickBot="1" x14ac:dyDescent="0.3">
      <c r="A39" s="10" t="s">
        <v>9</v>
      </c>
      <c r="B39" s="14">
        <v>1725014</v>
      </c>
      <c r="C39" s="14">
        <v>2978875.7829512302</v>
      </c>
      <c r="D39" s="14">
        <v>4036465.0181858302</v>
      </c>
      <c r="E39" s="14">
        <v>4926100.4148559496</v>
      </c>
      <c r="F39" s="14">
        <v>5684949.5848243404</v>
      </c>
      <c r="G39" s="14">
        <v>6344542.2311811298</v>
      </c>
      <c r="H39" s="14">
        <v>6928220.0280484902</v>
      </c>
      <c r="I39" s="14">
        <v>7453982.6659098798</v>
      </c>
      <c r="J39" s="14">
        <v>7935752.3094298001</v>
      </c>
      <c r="K39" s="14">
        <v>8384313.4080560701</v>
      </c>
      <c r="L39" s="14">
        <v>8808037.1326324902</v>
      </c>
      <c r="M39" s="14">
        <v>9213430.9324285109</v>
      </c>
      <c r="N39" s="14">
        <v>9605559.8495375402</v>
      </c>
      <c r="O39" s="14">
        <v>9988371.0492101405</v>
      </c>
      <c r="P39" s="14">
        <v>10364944.5053827</v>
      </c>
      <c r="Q39" s="14">
        <v>10737687.046733599</v>
      </c>
      <c r="R39" s="14">
        <v>11108482.773884701</v>
      </c>
      <c r="S39" s="14">
        <v>11478809.7716609</v>
      </c>
      <c r="T39" s="14">
        <v>11849830.7308004</v>
      </c>
      <c r="U39" s="15">
        <v>12222463.3451277</v>
      </c>
    </row>
    <row r="40" spans="1:21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spans="1:21" ht="16.5" thickBot="1" x14ac:dyDescent="0.3">
      <c r="A41" s="7" t="s">
        <v>14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</row>
    <row r="42" spans="1:21" s="4" customFormat="1" ht="16.5" thickBot="1" x14ac:dyDescent="0.3">
      <c r="A42" s="8" t="s">
        <v>8</v>
      </c>
      <c r="B42" s="17">
        <v>0</v>
      </c>
      <c r="C42" s="17">
        <v>1</v>
      </c>
      <c r="D42" s="17">
        <v>2</v>
      </c>
      <c r="E42" s="17">
        <v>3</v>
      </c>
      <c r="F42" s="17">
        <v>4</v>
      </c>
      <c r="G42" s="17">
        <v>5</v>
      </c>
      <c r="H42" s="17">
        <v>6</v>
      </c>
      <c r="I42" s="17">
        <v>7</v>
      </c>
      <c r="J42" s="17">
        <v>8</v>
      </c>
      <c r="K42" s="17">
        <v>9</v>
      </c>
      <c r="L42" s="17">
        <v>10</v>
      </c>
      <c r="M42" s="17">
        <v>11</v>
      </c>
      <c r="N42" s="17">
        <v>12</v>
      </c>
      <c r="O42" s="17">
        <v>13</v>
      </c>
      <c r="P42" s="17">
        <v>14</v>
      </c>
      <c r="Q42" s="17">
        <v>15</v>
      </c>
      <c r="R42" s="17">
        <v>16</v>
      </c>
      <c r="S42" s="17">
        <v>17</v>
      </c>
      <c r="T42" s="17">
        <v>18</v>
      </c>
      <c r="U42" s="18">
        <v>19</v>
      </c>
    </row>
    <row r="43" spans="1:21" ht="16.5" thickBot="1" x14ac:dyDescent="0.3">
      <c r="A43" s="10" t="s">
        <v>9</v>
      </c>
      <c r="B43" s="14">
        <v>1725014</v>
      </c>
      <c r="C43" s="14">
        <v>1090314.59387063</v>
      </c>
      <c r="D43" s="14">
        <v>799689.40282389603</v>
      </c>
      <c r="E43" s="14">
        <v>584949.714256673</v>
      </c>
      <c r="F43" s="14">
        <v>433874.475845006</v>
      </c>
      <c r="G43" s="14">
        <v>327934.11854242999</v>
      </c>
      <c r="H43" s="14">
        <v>252340.01870662099</v>
      </c>
      <c r="I43" s="14">
        <v>197653.64977976499</v>
      </c>
      <c r="J43" s="14">
        <v>157491.351051898</v>
      </c>
      <c r="K43" s="14">
        <v>127509.059842883</v>
      </c>
      <c r="L43" s="14">
        <v>104738.02433628299</v>
      </c>
      <c r="M43" s="14">
        <v>87136.649796702099</v>
      </c>
      <c r="N43" s="14">
        <v>73291.698402631897</v>
      </c>
      <c r="O43" s="14">
        <v>62217.522078559399</v>
      </c>
      <c r="P43" s="14">
        <v>53220.621194068903</v>
      </c>
      <c r="Q43" s="14">
        <v>45808.002733447996</v>
      </c>
      <c r="R43" s="14">
        <v>39625.000003978203</v>
      </c>
      <c r="S43" s="14">
        <v>34412.964649785601</v>
      </c>
      <c r="T43" s="14">
        <v>29980.392717246999</v>
      </c>
      <c r="U43" s="15">
        <v>26183.150179407701</v>
      </c>
    </row>
    <row r="44" spans="1:21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16.5" thickBot="1" x14ac:dyDescent="0.3">
      <c r="A45" s="7" t="s">
        <v>15</v>
      </c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</row>
    <row r="46" spans="1:21" ht="16.5" thickBot="1" x14ac:dyDescent="0.3">
      <c r="A46" s="8" t="s">
        <v>8</v>
      </c>
      <c r="B46" s="17">
        <v>0</v>
      </c>
      <c r="C46" s="17">
        <v>1</v>
      </c>
      <c r="D46" s="17">
        <v>2</v>
      </c>
      <c r="E46" s="17">
        <v>3</v>
      </c>
      <c r="F46" s="17">
        <v>4</v>
      </c>
      <c r="G46" s="17">
        <v>5</v>
      </c>
      <c r="H46" s="17">
        <v>6</v>
      </c>
      <c r="I46" s="17">
        <v>7</v>
      </c>
      <c r="J46" s="17">
        <v>8</v>
      </c>
      <c r="K46" s="17">
        <v>9</v>
      </c>
      <c r="L46" s="17">
        <v>10</v>
      </c>
      <c r="M46" s="17">
        <v>11</v>
      </c>
      <c r="N46" s="17">
        <v>12</v>
      </c>
      <c r="O46" s="17">
        <v>13</v>
      </c>
      <c r="P46" s="17">
        <v>14</v>
      </c>
      <c r="Q46" s="17">
        <v>15</v>
      </c>
      <c r="R46" s="17">
        <v>16</v>
      </c>
      <c r="S46" s="17">
        <v>17</v>
      </c>
      <c r="T46" s="17">
        <v>18</v>
      </c>
      <c r="U46" s="18">
        <v>19</v>
      </c>
    </row>
    <row r="47" spans="1:21" ht="16.5" thickBot="1" x14ac:dyDescent="0.3">
      <c r="A47" s="10" t="s">
        <v>10</v>
      </c>
      <c r="B47" s="19">
        <v>1725014</v>
      </c>
      <c r="C47" s="20">
        <v>2815328.59387063</v>
      </c>
      <c r="D47" s="20">
        <v>3615017.9966945299</v>
      </c>
      <c r="E47" s="20">
        <v>4199967.7109511998</v>
      </c>
      <c r="F47" s="20">
        <v>4633842.1867962098</v>
      </c>
      <c r="G47" s="20">
        <v>4961776.3053386398</v>
      </c>
      <c r="H47" s="20">
        <v>5214116.3240452604</v>
      </c>
      <c r="I47" s="20">
        <v>5411769.9738250198</v>
      </c>
      <c r="J47" s="20">
        <v>5569261.3248769203</v>
      </c>
      <c r="K47" s="20">
        <v>5696770.3847198002</v>
      </c>
      <c r="L47" s="20">
        <v>5801508.4090560898</v>
      </c>
      <c r="M47" s="20">
        <v>5888645.0588527899</v>
      </c>
      <c r="N47" s="20">
        <v>5961936.7572554201</v>
      </c>
      <c r="O47" s="20">
        <v>6024154.2793339798</v>
      </c>
      <c r="P47" s="20">
        <v>6077374.90052805</v>
      </c>
      <c r="Q47" s="20">
        <v>6123182.9032615004</v>
      </c>
      <c r="R47" s="20">
        <v>6162807.90326548</v>
      </c>
      <c r="S47" s="20">
        <v>6197220.8679152597</v>
      </c>
      <c r="T47" s="20">
        <v>6227201.2606325103</v>
      </c>
      <c r="U47" s="21">
        <v>6253384.4108119197</v>
      </c>
    </row>
    <row r="51" spans="1:33" ht="16.5" thickBot="1" x14ac:dyDescent="0.3">
      <c r="A51" s="7" t="s">
        <v>42</v>
      </c>
    </row>
    <row r="52" spans="1:33" ht="16.5" thickBot="1" x14ac:dyDescent="0.3">
      <c r="A52" s="8" t="s">
        <v>8</v>
      </c>
      <c r="B52" s="5">
        <v>0</v>
      </c>
      <c r="C52" s="5">
        <v>1</v>
      </c>
      <c r="D52" s="5">
        <v>2</v>
      </c>
      <c r="E52" s="5">
        <v>3</v>
      </c>
      <c r="F52" s="5">
        <v>4</v>
      </c>
      <c r="G52" s="5">
        <v>5</v>
      </c>
      <c r="H52" s="5">
        <v>6</v>
      </c>
      <c r="I52" s="5">
        <v>7</v>
      </c>
      <c r="J52" s="5">
        <v>8</v>
      </c>
      <c r="K52" s="5">
        <v>9</v>
      </c>
      <c r="L52" s="5">
        <v>10</v>
      </c>
      <c r="M52" s="5">
        <v>11</v>
      </c>
      <c r="N52" s="5">
        <v>12</v>
      </c>
      <c r="O52" s="5">
        <v>13</v>
      </c>
      <c r="P52" s="5">
        <v>14</v>
      </c>
      <c r="Q52" s="5">
        <v>15</v>
      </c>
      <c r="R52" s="5">
        <v>16</v>
      </c>
      <c r="S52" s="5">
        <v>17</v>
      </c>
      <c r="T52" s="5">
        <v>18</v>
      </c>
      <c r="U52" s="6">
        <v>19</v>
      </c>
    </row>
    <row r="53" spans="1:33" x14ac:dyDescent="0.25">
      <c r="A53" s="9" t="s">
        <v>0</v>
      </c>
      <c r="B53" s="26">
        <f>+B25/B$35</f>
        <v>0.19401001962882619</v>
      </c>
      <c r="C53" s="26">
        <f t="shared" ref="C53:U53" si="0">+C25/C$35</f>
        <v>0</v>
      </c>
      <c r="D53" s="26">
        <f t="shared" si="0"/>
        <v>0</v>
      </c>
      <c r="E53" s="26">
        <f t="shared" si="0"/>
        <v>0</v>
      </c>
      <c r="F53" s="26">
        <f t="shared" si="0"/>
        <v>0</v>
      </c>
      <c r="G53" s="26">
        <f t="shared" si="0"/>
        <v>0</v>
      </c>
      <c r="H53" s="26">
        <f t="shared" si="0"/>
        <v>0</v>
      </c>
      <c r="I53" s="26">
        <f t="shared" si="0"/>
        <v>0</v>
      </c>
      <c r="J53" s="26">
        <f t="shared" si="0"/>
        <v>0</v>
      </c>
      <c r="K53" s="26">
        <f t="shared" si="0"/>
        <v>0</v>
      </c>
      <c r="L53" s="26">
        <f t="shared" si="0"/>
        <v>0</v>
      </c>
      <c r="M53" s="26">
        <f t="shared" si="0"/>
        <v>0</v>
      </c>
      <c r="N53" s="26">
        <f t="shared" si="0"/>
        <v>0</v>
      </c>
      <c r="O53" s="26">
        <f t="shared" si="0"/>
        <v>0</v>
      </c>
      <c r="P53" s="26">
        <f t="shared" si="0"/>
        <v>0</v>
      </c>
      <c r="Q53" s="26">
        <f t="shared" si="0"/>
        <v>0</v>
      </c>
      <c r="R53" s="26">
        <f t="shared" si="0"/>
        <v>0</v>
      </c>
      <c r="S53" s="26">
        <f t="shared" si="0"/>
        <v>0</v>
      </c>
      <c r="T53" s="26">
        <f t="shared" si="0"/>
        <v>0</v>
      </c>
      <c r="U53" s="27">
        <f t="shared" si="0"/>
        <v>0</v>
      </c>
    </row>
    <row r="54" spans="1:33" x14ac:dyDescent="0.25">
      <c r="A54" s="9" t="s">
        <v>1</v>
      </c>
      <c r="B54" s="26">
        <f t="shared" ref="B54:U54" si="1">+B26/B$35</f>
        <v>0.14843937498478274</v>
      </c>
      <c r="C54" s="26">
        <f t="shared" si="1"/>
        <v>0.18799939227487703</v>
      </c>
      <c r="D54" s="26">
        <f t="shared" si="1"/>
        <v>0.19327161292934064</v>
      </c>
      <c r="E54" s="26">
        <f t="shared" si="1"/>
        <v>0.19683430466079607</v>
      </c>
      <c r="F54" s="26">
        <f t="shared" si="1"/>
        <v>0.19727953948524052</v>
      </c>
      <c r="G54" s="26">
        <f t="shared" si="1"/>
        <v>0.19489182845284961</v>
      </c>
      <c r="H54" s="26">
        <f t="shared" si="1"/>
        <v>0.19082296251144876</v>
      </c>
      <c r="I54" s="26">
        <f t="shared" si="1"/>
        <v>0.18582073718800327</v>
      </c>
      <c r="J54" s="26">
        <f t="shared" si="1"/>
        <v>0.18046582635008948</v>
      </c>
      <c r="K54" s="26">
        <f t="shared" si="1"/>
        <v>0.17518596885091728</v>
      </c>
      <c r="L54" s="26">
        <f t="shared" si="1"/>
        <v>0.17026601011401735</v>
      </c>
      <c r="M54" s="26">
        <f t="shared" si="1"/>
        <v>0.1658703918717612</v>
      </c>
      <c r="N54" s="26">
        <f t="shared" si="1"/>
        <v>0.16206926932001678</v>
      </c>
      <c r="O54" s="26">
        <f t="shared" si="1"/>
        <v>0.15886564277780055</v>
      </c>
      <c r="P54" s="26">
        <f t="shared" si="1"/>
        <v>0.15621998085407843</v>
      </c>
      <c r="Q54" s="26">
        <f t="shared" si="1"/>
        <v>0.15406998971797556</v>
      </c>
      <c r="R54" s="26">
        <f t="shared" si="1"/>
        <v>0.15234482725301313</v>
      </c>
      <c r="S54" s="26">
        <f t="shared" si="1"/>
        <v>0.15097425821709673</v>
      </c>
      <c r="T54" s="26">
        <f t="shared" si="1"/>
        <v>0.14989383152197197</v>
      </c>
      <c r="U54" s="27">
        <f t="shared" si="1"/>
        <v>0.14904726232444454</v>
      </c>
    </row>
    <row r="55" spans="1:33" x14ac:dyDescent="0.25">
      <c r="A55" s="9" t="s">
        <v>2</v>
      </c>
      <c r="B55" s="26">
        <f t="shared" ref="B55:U55" si="2">+B27/B$35</f>
        <v>0.20384066448156363</v>
      </c>
      <c r="C55" s="26">
        <f t="shared" si="2"/>
        <v>0.25446650693036105</v>
      </c>
      <c r="D55" s="26">
        <f t="shared" si="2"/>
        <v>0.2553662059061419</v>
      </c>
      <c r="E55" s="26">
        <f t="shared" si="2"/>
        <v>0.25558569756321015</v>
      </c>
      <c r="F55" s="26">
        <f t="shared" si="2"/>
        <v>0.25521727153252788</v>
      </c>
      <c r="G55" s="26">
        <f t="shared" si="2"/>
        <v>0.25405416568963612</v>
      </c>
      <c r="H55" s="26">
        <f t="shared" si="2"/>
        <v>0.25256775207433424</v>
      </c>
      <c r="I55" s="26">
        <f t="shared" si="2"/>
        <v>0.25094599055913019</v>
      </c>
      <c r="J55" s="26">
        <f t="shared" si="2"/>
        <v>0.24931368195534859</v>
      </c>
      <c r="K55" s="26">
        <f t="shared" si="2"/>
        <v>0.24776063397406614</v>
      </c>
      <c r="L55" s="26">
        <f t="shared" si="2"/>
        <v>0.24634440132850252</v>
      </c>
      <c r="M55" s="26">
        <f t="shared" si="2"/>
        <v>0.24509610464308554</v>
      </c>
      <c r="N55" s="26">
        <f t="shared" si="2"/>
        <v>0.24402595360546017</v>
      </c>
      <c r="O55" s="26">
        <f t="shared" si="2"/>
        <v>0.24312910312106809</v>
      </c>
      <c r="P55" s="26">
        <f t="shared" si="2"/>
        <v>0.24239121665719024</v>
      </c>
      <c r="Q55" s="26">
        <f t="shared" si="2"/>
        <v>0.24179307025260552</v>
      </c>
      <c r="R55" s="26">
        <f t="shared" si="2"/>
        <v>0.24131392156674653</v>
      </c>
      <c r="S55" s="26">
        <f t="shared" si="2"/>
        <v>0.2409336919864303</v>
      </c>
      <c r="T55" s="26">
        <f t="shared" si="2"/>
        <v>0.24063418788144608</v>
      </c>
      <c r="U55" s="27">
        <f t="shared" si="2"/>
        <v>0.24039963591916694</v>
      </c>
    </row>
    <row r="56" spans="1:33" x14ac:dyDescent="0.25">
      <c r="A56" s="9" t="s">
        <v>3</v>
      </c>
      <c r="B56" s="26">
        <f t="shared" ref="B56:U56" si="3">+B28/B$35</f>
        <v>0.45370994090482741</v>
      </c>
      <c r="C56" s="26">
        <f t="shared" si="3"/>
        <v>0.55753410079476118</v>
      </c>
      <c r="D56" s="26">
        <f t="shared" si="3"/>
        <v>0.55136218116452029</v>
      </c>
      <c r="E56" s="26">
        <f t="shared" si="3"/>
        <v>0.54757999777599375</v>
      </c>
      <c r="F56" s="26">
        <f t="shared" si="3"/>
        <v>0.54750318898223016</v>
      </c>
      <c r="G56" s="26">
        <f t="shared" si="3"/>
        <v>0.55105400585751441</v>
      </c>
      <c r="H56" s="26">
        <f t="shared" si="3"/>
        <v>0.55660928541421706</v>
      </c>
      <c r="I56" s="26">
        <f t="shared" si="3"/>
        <v>0.56323327225286723</v>
      </c>
      <c r="J56" s="26">
        <f t="shared" si="3"/>
        <v>0.57022049169456068</v>
      </c>
      <c r="K56" s="26">
        <f t="shared" si="3"/>
        <v>0.57705339717501702</v>
      </c>
      <c r="L56" s="26">
        <f t="shared" si="3"/>
        <v>0.58338958855747969</v>
      </c>
      <c r="M56" s="26">
        <f t="shared" si="3"/>
        <v>0.58903350348515182</v>
      </c>
      <c r="N56" s="26">
        <f t="shared" si="3"/>
        <v>0.59390477707452449</v>
      </c>
      <c r="O56" s="26">
        <f t="shared" si="3"/>
        <v>0.59800525410112992</v>
      </c>
      <c r="P56" s="26">
        <f t="shared" si="3"/>
        <v>0.60138880248873183</v>
      </c>
      <c r="Q56" s="26">
        <f t="shared" si="3"/>
        <v>0.60413694002941709</v>
      </c>
      <c r="R56" s="26">
        <f t="shared" si="3"/>
        <v>0.60634125118024229</v>
      </c>
      <c r="S56" s="26">
        <f t="shared" si="3"/>
        <v>0.60809204979647247</v>
      </c>
      <c r="T56" s="26">
        <f t="shared" si="3"/>
        <v>0.60947198059658014</v>
      </c>
      <c r="U56" s="27">
        <f t="shared" si="3"/>
        <v>0.61055310175638877</v>
      </c>
    </row>
    <row r="57" spans="1:33" x14ac:dyDescent="0.25">
      <c r="A57" s="9" t="s">
        <v>4</v>
      </c>
      <c r="B57" s="26">
        <f t="shared" ref="B57:U57" si="4">+B29/B$35</f>
        <v>0</v>
      </c>
      <c r="C57" s="26">
        <f t="shared" si="4"/>
        <v>0</v>
      </c>
      <c r="D57" s="26">
        <f t="shared" si="4"/>
        <v>0</v>
      </c>
      <c r="E57" s="26">
        <f t="shared" si="4"/>
        <v>0</v>
      </c>
      <c r="F57" s="26">
        <f t="shared" si="4"/>
        <v>0</v>
      </c>
      <c r="G57" s="26">
        <f t="shared" si="4"/>
        <v>0</v>
      </c>
      <c r="H57" s="26">
        <f t="shared" si="4"/>
        <v>0</v>
      </c>
      <c r="I57" s="26">
        <f t="shared" si="4"/>
        <v>0</v>
      </c>
      <c r="J57" s="26">
        <f t="shared" si="4"/>
        <v>0</v>
      </c>
      <c r="K57" s="26">
        <f t="shared" si="4"/>
        <v>0</v>
      </c>
      <c r="L57" s="26">
        <f t="shared" si="4"/>
        <v>0</v>
      </c>
      <c r="M57" s="26">
        <f t="shared" si="4"/>
        <v>0</v>
      </c>
      <c r="N57" s="26">
        <f t="shared" si="4"/>
        <v>0</v>
      </c>
      <c r="O57" s="26">
        <f t="shared" si="4"/>
        <v>0</v>
      </c>
      <c r="P57" s="26">
        <f t="shared" si="4"/>
        <v>0</v>
      </c>
      <c r="Q57" s="26">
        <f t="shared" si="4"/>
        <v>0</v>
      </c>
      <c r="R57" s="26">
        <f t="shared" si="4"/>
        <v>0</v>
      </c>
      <c r="S57" s="26">
        <f t="shared" si="4"/>
        <v>0</v>
      </c>
      <c r="T57" s="26">
        <f t="shared" si="4"/>
        <v>0</v>
      </c>
      <c r="U57" s="27">
        <f t="shared" si="4"/>
        <v>0</v>
      </c>
    </row>
    <row r="58" spans="1:33" x14ac:dyDescent="0.25">
      <c r="A58" s="9" t="s">
        <v>5</v>
      </c>
      <c r="B58" s="26">
        <f t="shared" ref="B58:U58" si="5">+B30/B$35</f>
        <v>0</v>
      </c>
      <c r="C58" s="26">
        <f t="shared" si="5"/>
        <v>0</v>
      </c>
      <c r="D58" s="26">
        <f t="shared" si="5"/>
        <v>0</v>
      </c>
      <c r="E58" s="26">
        <f t="shared" si="5"/>
        <v>0</v>
      </c>
      <c r="F58" s="26">
        <f t="shared" si="5"/>
        <v>0</v>
      </c>
      <c r="G58" s="26">
        <f t="shared" si="5"/>
        <v>0</v>
      </c>
      <c r="H58" s="26">
        <f t="shared" si="5"/>
        <v>0</v>
      </c>
      <c r="I58" s="26">
        <f t="shared" si="5"/>
        <v>0</v>
      </c>
      <c r="J58" s="26">
        <f t="shared" si="5"/>
        <v>0</v>
      </c>
      <c r="K58" s="26">
        <f t="shared" si="5"/>
        <v>0</v>
      </c>
      <c r="L58" s="26">
        <f t="shared" si="5"/>
        <v>0</v>
      </c>
      <c r="M58" s="26">
        <f t="shared" si="5"/>
        <v>0</v>
      </c>
      <c r="N58" s="26">
        <f t="shared" si="5"/>
        <v>0</v>
      </c>
      <c r="O58" s="26">
        <f t="shared" si="5"/>
        <v>0</v>
      </c>
      <c r="P58" s="26">
        <f t="shared" si="5"/>
        <v>0</v>
      </c>
      <c r="Q58" s="26">
        <f t="shared" si="5"/>
        <v>0</v>
      </c>
      <c r="R58" s="26">
        <f t="shared" si="5"/>
        <v>0</v>
      </c>
      <c r="S58" s="26">
        <f t="shared" si="5"/>
        <v>0</v>
      </c>
      <c r="T58" s="26">
        <f t="shared" si="5"/>
        <v>0</v>
      </c>
      <c r="U58" s="27">
        <f t="shared" si="5"/>
        <v>0</v>
      </c>
    </row>
    <row r="59" spans="1:33" ht="16.5" thickBot="1" x14ac:dyDescent="0.3">
      <c r="A59" s="10" t="s">
        <v>6</v>
      </c>
      <c r="B59" s="28">
        <f t="shared" ref="B59:U59" si="6">+B31/B$35</f>
        <v>0</v>
      </c>
      <c r="C59" s="28">
        <f t="shared" si="6"/>
        <v>0</v>
      </c>
      <c r="D59" s="28">
        <f t="shared" si="6"/>
        <v>0</v>
      </c>
      <c r="E59" s="28">
        <f t="shared" si="6"/>
        <v>0</v>
      </c>
      <c r="F59" s="28">
        <f t="shared" si="6"/>
        <v>0</v>
      </c>
      <c r="G59" s="28">
        <f t="shared" si="6"/>
        <v>0</v>
      </c>
      <c r="H59" s="28">
        <f t="shared" si="6"/>
        <v>0</v>
      </c>
      <c r="I59" s="28">
        <f t="shared" si="6"/>
        <v>0</v>
      </c>
      <c r="J59" s="28">
        <f t="shared" si="6"/>
        <v>0</v>
      </c>
      <c r="K59" s="28">
        <f t="shared" si="6"/>
        <v>0</v>
      </c>
      <c r="L59" s="28">
        <f t="shared" si="6"/>
        <v>0</v>
      </c>
      <c r="M59" s="28">
        <f t="shared" si="6"/>
        <v>0</v>
      </c>
      <c r="N59" s="28">
        <f t="shared" si="6"/>
        <v>0</v>
      </c>
      <c r="O59" s="28">
        <f t="shared" si="6"/>
        <v>0</v>
      </c>
      <c r="P59" s="28">
        <f t="shared" si="6"/>
        <v>0</v>
      </c>
      <c r="Q59" s="28">
        <f t="shared" si="6"/>
        <v>0</v>
      </c>
      <c r="R59" s="28">
        <f t="shared" si="6"/>
        <v>0</v>
      </c>
      <c r="S59" s="28">
        <f t="shared" si="6"/>
        <v>0</v>
      </c>
      <c r="T59" s="28">
        <f t="shared" si="6"/>
        <v>0</v>
      </c>
      <c r="U59" s="29">
        <f t="shared" si="6"/>
        <v>0</v>
      </c>
    </row>
    <row r="60" spans="1:33" x14ac:dyDescent="0.25">
      <c r="B60" s="30">
        <f>1-SUM(B53:B59)</f>
        <v>0</v>
      </c>
      <c r="C60" s="30">
        <f t="shared" ref="C60:U60" si="7">1-SUM(C53:C59)</f>
        <v>0</v>
      </c>
      <c r="D60" s="30">
        <f t="shared" si="7"/>
        <v>-2.886579864025407E-15</v>
      </c>
      <c r="E60" s="30">
        <f t="shared" si="7"/>
        <v>0</v>
      </c>
      <c r="F60" s="30">
        <f t="shared" si="7"/>
        <v>0</v>
      </c>
      <c r="G60" s="30">
        <f t="shared" si="7"/>
        <v>0</v>
      </c>
      <c r="H60" s="30">
        <f t="shared" si="7"/>
        <v>0</v>
      </c>
      <c r="I60" s="30">
        <f t="shared" si="7"/>
        <v>0</v>
      </c>
      <c r="J60" s="30">
        <f t="shared" si="7"/>
        <v>0</v>
      </c>
      <c r="K60" s="30">
        <f t="shared" si="7"/>
        <v>0</v>
      </c>
      <c r="L60" s="30">
        <f t="shared" si="7"/>
        <v>0</v>
      </c>
      <c r="M60" s="30">
        <f t="shared" si="7"/>
        <v>0</v>
      </c>
      <c r="N60" s="30">
        <f t="shared" si="7"/>
        <v>0</v>
      </c>
      <c r="O60" s="30">
        <f t="shared" si="7"/>
        <v>0</v>
      </c>
      <c r="P60" s="30">
        <f t="shared" si="7"/>
        <v>0</v>
      </c>
      <c r="Q60" s="30">
        <f t="shared" si="7"/>
        <v>1.7763568394002505E-15</v>
      </c>
      <c r="R60" s="30">
        <f t="shared" si="7"/>
        <v>-1.9984014443252818E-15</v>
      </c>
      <c r="S60" s="30">
        <f t="shared" si="7"/>
        <v>0</v>
      </c>
      <c r="T60" s="30">
        <f t="shared" si="7"/>
        <v>1.7763568394002505E-15</v>
      </c>
      <c r="U60" s="30">
        <f t="shared" si="7"/>
        <v>0</v>
      </c>
    </row>
    <row r="62" spans="1:33" ht="16.5" thickBot="1" x14ac:dyDescent="0.3">
      <c r="A62" s="7" t="s">
        <v>43</v>
      </c>
    </row>
    <row r="63" spans="1:33" ht="16.5" thickBot="1" x14ac:dyDescent="0.3">
      <c r="A63" s="8" t="s">
        <v>8</v>
      </c>
      <c r="B63" s="5">
        <v>0</v>
      </c>
      <c r="C63" s="5">
        <v>1</v>
      </c>
      <c r="D63" s="5">
        <v>2</v>
      </c>
      <c r="E63" s="5">
        <v>3</v>
      </c>
      <c r="F63" s="5">
        <v>4</v>
      </c>
      <c r="G63" s="5">
        <v>5</v>
      </c>
      <c r="H63" s="5">
        <v>6</v>
      </c>
      <c r="I63" s="5">
        <v>7</v>
      </c>
      <c r="J63" s="5">
        <v>8</v>
      </c>
      <c r="K63" s="5">
        <v>9</v>
      </c>
      <c r="L63" s="5">
        <v>10</v>
      </c>
      <c r="M63" s="5">
        <v>11</v>
      </c>
      <c r="N63" s="5">
        <v>12</v>
      </c>
      <c r="O63" s="5">
        <v>13</v>
      </c>
      <c r="P63" s="5">
        <v>14</v>
      </c>
      <c r="Q63" s="5">
        <v>15</v>
      </c>
      <c r="R63" s="5">
        <v>16</v>
      </c>
      <c r="S63" s="5">
        <v>17</v>
      </c>
      <c r="T63" s="5">
        <v>18</v>
      </c>
      <c r="U63" s="6">
        <v>19</v>
      </c>
    </row>
    <row r="64" spans="1:33" x14ac:dyDescent="0.25">
      <c r="A64" s="9" t="s">
        <v>0</v>
      </c>
      <c r="B64" s="12">
        <f>+B53*B$43</f>
        <v>334670</v>
      </c>
      <c r="C64" s="31">
        <f t="shared" ref="C64:U64" si="8">+C53*C$43</f>
        <v>0</v>
      </c>
      <c r="D64" s="31">
        <f t="shared" si="8"/>
        <v>0</v>
      </c>
      <c r="E64" s="31">
        <f t="shared" si="8"/>
        <v>0</v>
      </c>
      <c r="F64" s="31">
        <f t="shared" si="8"/>
        <v>0</v>
      </c>
      <c r="G64" s="31">
        <f t="shared" si="8"/>
        <v>0</v>
      </c>
      <c r="H64" s="31">
        <f t="shared" si="8"/>
        <v>0</v>
      </c>
      <c r="I64" s="31">
        <f t="shared" si="8"/>
        <v>0</v>
      </c>
      <c r="J64" s="31">
        <f t="shared" si="8"/>
        <v>0</v>
      </c>
      <c r="K64" s="31">
        <f t="shared" si="8"/>
        <v>0</v>
      </c>
      <c r="L64" s="31">
        <f t="shared" si="8"/>
        <v>0</v>
      </c>
      <c r="M64" s="31">
        <f t="shared" si="8"/>
        <v>0</v>
      </c>
      <c r="N64" s="31">
        <f t="shared" si="8"/>
        <v>0</v>
      </c>
      <c r="O64" s="31">
        <f t="shared" si="8"/>
        <v>0</v>
      </c>
      <c r="P64" s="31">
        <f t="shared" si="8"/>
        <v>0</v>
      </c>
      <c r="Q64" s="31">
        <f t="shared" si="8"/>
        <v>0</v>
      </c>
      <c r="R64" s="31">
        <f t="shared" si="8"/>
        <v>0</v>
      </c>
      <c r="S64" s="31">
        <f t="shared" si="8"/>
        <v>0</v>
      </c>
      <c r="T64" s="31">
        <f t="shared" si="8"/>
        <v>0</v>
      </c>
      <c r="U64" s="32">
        <f t="shared" si="8"/>
        <v>0</v>
      </c>
      <c r="AD64" t="s">
        <v>3</v>
      </c>
      <c r="AE64" t="s">
        <v>2</v>
      </c>
      <c r="AF64" t="s">
        <v>1</v>
      </c>
      <c r="AG64" t="s">
        <v>0</v>
      </c>
    </row>
    <row r="65" spans="1:33" x14ac:dyDescent="0.25">
      <c r="A65" s="9" t="s">
        <v>1</v>
      </c>
      <c r="B65" s="31">
        <f t="shared" ref="B65:U65" si="9">+B54*B$43</f>
        <v>256060</v>
      </c>
      <c r="C65" s="31">
        <f t="shared" si="9"/>
        <v>204978.48103610781</v>
      </c>
      <c r="D65" s="31">
        <f t="shared" si="9"/>
        <v>154557.26072627559</v>
      </c>
      <c r="E65" s="31">
        <f t="shared" si="9"/>
        <v>115138.17026724358</v>
      </c>
      <c r="F65" s="31">
        <f t="shared" si="9"/>
        <v>85594.556789102891</v>
      </c>
      <c r="G65" s="31">
        <f t="shared" si="9"/>
        <v>63911.67997480771</v>
      </c>
      <c r="H65" s="31">
        <f t="shared" si="9"/>
        <v>48152.269929791815</v>
      </c>
      <c r="I65" s="31">
        <f t="shared" si="9"/>
        <v>36728.146909975352</v>
      </c>
      <c r="J65" s="31">
        <f t="shared" si="9"/>
        <v>28421.806810572809</v>
      </c>
      <c r="K65" s="31">
        <f t="shared" si="9"/>
        <v>22337.798185845048</v>
      </c>
      <c r="L65" s="31">
        <f t="shared" si="9"/>
        <v>17833.325510963754</v>
      </c>
      <c r="M65" s="31">
        <f t="shared" si="9"/>
        <v>14453.390248171398</v>
      </c>
      <c r="N65" s="31">
        <f t="shared" si="9"/>
        <v>11878.332007337593</v>
      </c>
      <c r="O65" s="31">
        <f t="shared" si="9"/>
        <v>9884.2266370523357</v>
      </c>
      <c r="P65" s="31">
        <f t="shared" si="9"/>
        <v>8314.1244239796051</v>
      </c>
      <c r="Q65" s="31">
        <f t="shared" si="9"/>
        <v>7057.6385101433289</v>
      </c>
      <c r="R65" s="31">
        <f t="shared" si="9"/>
        <v>6036.6637805067039</v>
      </c>
      <c r="S65" s="31">
        <f t="shared" si="9"/>
        <v>5195.4718110525528</v>
      </c>
      <c r="T65" s="31">
        <f t="shared" si="9"/>
        <v>4493.875934921577</v>
      </c>
      <c r="U65" s="32">
        <f t="shared" si="9"/>
        <v>3902.5268532705068</v>
      </c>
      <c r="AC65" t="s">
        <v>44</v>
      </c>
      <c r="AD65">
        <v>782656</v>
      </c>
      <c r="AE65">
        <v>351628</v>
      </c>
      <c r="AF65">
        <v>256060</v>
      </c>
      <c r="AG65">
        <v>334670</v>
      </c>
    </row>
    <row r="66" spans="1:33" x14ac:dyDescent="0.25">
      <c r="A66" s="9" t="s">
        <v>2</v>
      </c>
      <c r="B66" s="31">
        <f t="shared" ref="B66:U66" si="10">+B55*B$43</f>
        <v>351628</v>
      </c>
      <c r="C66" s="31">
        <f t="shared" si="10"/>
        <v>277448.54615745449</v>
      </c>
      <c r="D66" s="31">
        <f t="shared" si="10"/>
        <v>204213.64870248668</v>
      </c>
      <c r="E66" s="31">
        <f t="shared" si="10"/>
        <v>149504.78075769221</v>
      </c>
      <c r="F66" s="31">
        <f t="shared" si="10"/>
        <v>110732.2599127681</v>
      </c>
      <c r="G66" s="31">
        <f t="shared" si="10"/>
        <v>83313.028887463282</v>
      </c>
      <c r="H66" s="31">
        <f t="shared" si="10"/>
        <v>63732.951283126713</v>
      </c>
      <c r="I66" s="31">
        <f t="shared" si="10"/>
        <v>49600.390931610535</v>
      </c>
      <c r="J66" s="31">
        <f t="shared" si="10"/>
        <v>39264.74860687105</v>
      </c>
      <c r="K66" s="31">
        <f t="shared" si="10"/>
        <v>31591.725504109829</v>
      </c>
      <c r="L66" s="31">
        <f t="shared" si="10"/>
        <v>25801.62590145176</v>
      </c>
      <c r="M66" s="31">
        <f t="shared" si="10"/>
        <v>21356.853436820395</v>
      </c>
      <c r="N66" s="31">
        <f t="shared" si="10"/>
        <v>17885.076594066031</v>
      </c>
      <c r="O66" s="31">
        <f t="shared" si="10"/>
        <v>15126.890341375398</v>
      </c>
      <c r="P66" s="31">
        <f t="shared" si="10"/>
        <v>12900.211122481805</v>
      </c>
      <c r="Q66" s="31">
        <f t="shared" si="10"/>
        <v>11076.057623060136</v>
      </c>
      <c r="R66" s="31">
        <f t="shared" si="10"/>
        <v>9562.0641430423275</v>
      </c>
      <c r="S66" s="31">
        <f t="shared" si="10"/>
        <v>8291.2426252713576</v>
      </c>
      <c r="T66" s="31">
        <f t="shared" si="10"/>
        <v>7214.3074538815526</v>
      </c>
      <c r="U66" s="32">
        <f t="shared" si="10"/>
        <v>6294.4197703464815</v>
      </c>
      <c r="AC66" t="s">
        <v>45</v>
      </c>
      <c r="AD66">
        <v>607887.56667706696</v>
      </c>
      <c r="AE66">
        <v>277448.54615745449</v>
      </c>
      <c r="AF66">
        <v>204978.48103610781</v>
      </c>
      <c r="AG66">
        <v>0</v>
      </c>
    </row>
    <row r="67" spans="1:33" x14ac:dyDescent="0.25">
      <c r="A67" s="9" t="s">
        <v>3</v>
      </c>
      <c r="B67" s="31">
        <f t="shared" ref="B67:U67" si="11">+B56*B$43</f>
        <v>782656</v>
      </c>
      <c r="C67" s="31">
        <f t="shared" si="11"/>
        <v>607887.56667706696</v>
      </c>
      <c r="D67" s="31">
        <f t="shared" si="11"/>
        <v>440918.49339513603</v>
      </c>
      <c r="E67" s="31">
        <f t="shared" si="11"/>
        <v>320306.76323173719</v>
      </c>
      <c r="F67" s="31">
        <f t="shared" si="11"/>
        <v>237547.65914313437</v>
      </c>
      <c r="G67" s="31">
        <f t="shared" si="11"/>
        <v>180709.40968015903</v>
      </c>
      <c r="H67" s="31">
        <f t="shared" si="11"/>
        <v>140454.79749370247</v>
      </c>
      <c r="I67" s="31">
        <f t="shared" si="11"/>
        <v>111325.11193817925</v>
      </c>
      <c r="J67" s="31">
        <f t="shared" si="11"/>
        <v>89804.795634453942</v>
      </c>
      <c r="K67" s="31">
        <f t="shared" si="11"/>
        <v>73579.53615292818</v>
      </c>
      <c r="L67" s="31">
        <f t="shared" si="11"/>
        <v>61103.072923867432</v>
      </c>
      <c r="M67" s="31">
        <f t="shared" si="11"/>
        <v>51326.406111710181</v>
      </c>
      <c r="N67" s="31">
        <f t="shared" si="11"/>
        <v>43528.289801228377</v>
      </c>
      <c r="O67" s="31">
        <f t="shared" si="11"/>
        <v>37206.405100131575</v>
      </c>
      <c r="P67" s="31">
        <f t="shared" si="11"/>
        <v>32006.285647607518</v>
      </c>
      <c r="Q67" s="31">
        <f t="shared" si="11"/>
        <v>27674.306600244447</v>
      </c>
      <c r="R67" s="31">
        <f t="shared" si="11"/>
        <v>24026.272080429248</v>
      </c>
      <c r="S67" s="31">
        <f t="shared" si="11"/>
        <v>20926.250213461673</v>
      </c>
      <c r="T67" s="31">
        <f t="shared" si="11"/>
        <v>18272.209328443816</v>
      </c>
      <c r="U67" s="32">
        <f t="shared" si="11"/>
        <v>15986.203555790718</v>
      </c>
      <c r="AC67" t="s">
        <v>46</v>
      </c>
      <c r="AD67">
        <v>440918.49339513603</v>
      </c>
      <c r="AE67">
        <v>204213.64870248668</v>
      </c>
      <c r="AF67">
        <v>154557.26072627559</v>
      </c>
      <c r="AG67">
        <v>0</v>
      </c>
    </row>
    <row r="68" spans="1:33" x14ac:dyDescent="0.25">
      <c r="A68" s="9" t="s">
        <v>4</v>
      </c>
      <c r="B68" s="31">
        <f t="shared" ref="B68:U68" si="12">+B57*B$43</f>
        <v>0</v>
      </c>
      <c r="C68" s="31">
        <f t="shared" si="12"/>
        <v>0</v>
      </c>
      <c r="D68" s="31">
        <f t="shared" si="12"/>
        <v>0</v>
      </c>
      <c r="E68" s="31">
        <f t="shared" si="12"/>
        <v>0</v>
      </c>
      <c r="F68" s="31">
        <f t="shared" si="12"/>
        <v>0</v>
      </c>
      <c r="G68" s="31">
        <f t="shared" si="12"/>
        <v>0</v>
      </c>
      <c r="H68" s="31">
        <f t="shared" si="12"/>
        <v>0</v>
      </c>
      <c r="I68" s="31">
        <f t="shared" si="12"/>
        <v>0</v>
      </c>
      <c r="J68" s="31">
        <f t="shared" si="12"/>
        <v>0</v>
      </c>
      <c r="K68" s="31">
        <f t="shared" si="12"/>
        <v>0</v>
      </c>
      <c r="L68" s="31">
        <f t="shared" si="12"/>
        <v>0</v>
      </c>
      <c r="M68" s="31">
        <f t="shared" si="12"/>
        <v>0</v>
      </c>
      <c r="N68" s="31">
        <f t="shared" si="12"/>
        <v>0</v>
      </c>
      <c r="O68" s="31">
        <f t="shared" si="12"/>
        <v>0</v>
      </c>
      <c r="P68" s="31">
        <f t="shared" si="12"/>
        <v>0</v>
      </c>
      <c r="Q68" s="31">
        <f t="shared" si="12"/>
        <v>0</v>
      </c>
      <c r="R68" s="31">
        <f t="shared" si="12"/>
        <v>0</v>
      </c>
      <c r="S68" s="31">
        <f t="shared" si="12"/>
        <v>0</v>
      </c>
      <c r="T68" s="31">
        <f t="shared" si="12"/>
        <v>0</v>
      </c>
      <c r="U68" s="32">
        <f t="shared" si="12"/>
        <v>0</v>
      </c>
      <c r="AC68" t="s">
        <v>47</v>
      </c>
      <c r="AD68">
        <v>320306.76323173719</v>
      </c>
      <c r="AE68">
        <v>149504.78075769221</v>
      </c>
      <c r="AF68">
        <v>115138.17026724358</v>
      </c>
      <c r="AG68">
        <v>0</v>
      </c>
    </row>
    <row r="69" spans="1:33" x14ac:dyDescent="0.25">
      <c r="A69" s="9" t="s">
        <v>5</v>
      </c>
      <c r="B69" s="31">
        <f t="shared" ref="B69:U69" si="13">+B58*B$43</f>
        <v>0</v>
      </c>
      <c r="C69" s="31">
        <f t="shared" si="13"/>
        <v>0</v>
      </c>
      <c r="D69" s="31">
        <f t="shared" si="13"/>
        <v>0</v>
      </c>
      <c r="E69" s="31">
        <f t="shared" si="13"/>
        <v>0</v>
      </c>
      <c r="F69" s="31">
        <f t="shared" si="13"/>
        <v>0</v>
      </c>
      <c r="G69" s="31">
        <f t="shared" si="13"/>
        <v>0</v>
      </c>
      <c r="H69" s="31">
        <f t="shared" si="13"/>
        <v>0</v>
      </c>
      <c r="I69" s="31">
        <f t="shared" si="13"/>
        <v>0</v>
      </c>
      <c r="J69" s="31">
        <f t="shared" si="13"/>
        <v>0</v>
      </c>
      <c r="K69" s="31">
        <f t="shared" si="13"/>
        <v>0</v>
      </c>
      <c r="L69" s="31">
        <f t="shared" si="13"/>
        <v>0</v>
      </c>
      <c r="M69" s="31">
        <f t="shared" si="13"/>
        <v>0</v>
      </c>
      <c r="N69" s="31">
        <f t="shared" si="13"/>
        <v>0</v>
      </c>
      <c r="O69" s="31">
        <f t="shared" si="13"/>
        <v>0</v>
      </c>
      <c r="P69" s="31">
        <f t="shared" si="13"/>
        <v>0</v>
      </c>
      <c r="Q69" s="31">
        <f t="shared" si="13"/>
        <v>0</v>
      </c>
      <c r="R69" s="31">
        <f t="shared" si="13"/>
        <v>0</v>
      </c>
      <c r="S69" s="31">
        <f t="shared" si="13"/>
        <v>0</v>
      </c>
      <c r="T69" s="31">
        <f t="shared" si="13"/>
        <v>0</v>
      </c>
      <c r="U69" s="32">
        <f t="shared" si="13"/>
        <v>0</v>
      </c>
    </row>
    <row r="70" spans="1:33" ht="16.5" thickBot="1" x14ac:dyDescent="0.3">
      <c r="A70" s="10" t="s">
        <v>6</v>
      </c>
      <c r="B70" s="33">
        <f t="shared" ref="B70:U70" si="14">+B59*B$43</f>
        <v>0</v>
      </c>
      <c r="C70" s="33">
        <f t="shared" si="14"/>
        <v>0</v>
      </c>
      <c r="D70" s="33">
        <f t="shared" si="14"/>
        <v>0</v>
      </c>
      <c r="E70" s="33">
        <f t="shared" si="14"/>
        <v>0</v>
      </c>
      <c r="F70" s="33">
        <f t="shared" si="14"/>
        <v>0</v>
      </c>
      <c r="G70" s="33">
        <f t="shared" si="14"/>
        <v>0</v>
      </c>
      <c r="H70" s="33">
        <f t="shared" si="14"/>
        <v>0</v>
      </c>
      <c r="I70" s="33">
        <f t="shared" si="14"/>
        <v>0</v>
      </c>
      <c r="J70" s="33">
        <f t="shared" si="14"/>
        <v>0</v>
      </c>
      <c r="K70" s="33">
        <f t="shared" si="14"/>
        <v>0</v>
      </c>
      <c r="L70" s="33">
        <f t="shared" si="14"/>
        <v>0</v>
      </c>
      <c r="M70" s="33">
        <f t="shared" si="14"/>
        <v>0</v>
      </c>
      <c r="N70" s="33">
        <f t="shared" si="14"/>
        <v>0</v>
      </c>
      <c r="O70" s="33">
        <f t="shared" si="14"/>
        <v>0</v>
      </c>
      <c r="P70" s="33">
        <f t="shared" si="14"/>
        <v>0</v>
      </c>
      <c r="Q70" s="33">
        <f t="shared" si="14"/>
        <v>0</v>
      </c>
      <c r="R70" s="33">
        <f t="shared" si="14"/>
        <v>0</v>
      </c>
      <c r="S70" s="33">
        <f t="shared" si="14"/>
        <v>0</v>
      </c>
      <c r="T70" s="33">
        <f t="shared" si="14"/>
        <v>0</v>
      </c>
      <c r="U70" s="34">
        <f t="shared" si="14"/>
        <v>0</v>
      </c>
    </row>
    <row r="72" spans="1:33" x14ac:dyDescent="0.25">
      <c r="A72"/>
    </row>
    <row r="73" spans="1:33" x14ac:dyDescent="0.25">
      <c r="A73"/>
    </row>
    <row r="74" spans="1:33" x14ac:dyDescent="0.25">
      <c r="A74"/>
    </row>
    <row r="75" spans="1:33" x14ac:dyDescent="0.25">
      <c r="A75"/>
    </row>
    <row r="76" spans="1:33" x14ac:dyDescent="0.25">
      <c r="A76"/>
    </row>
    <row r="77" spans="1:33" x14ac:dyDescent="0.25">
      <c r="A77"/>
    </row>
    <row r="78" spans="1:33" x14ac:dyDescent="0.25">
      <c r="A78"/>
    </row>
    <row r="79" spans="1:33" x14ac:dyDescent="0.25">
      <c r="A79"/>
    </row>
    <row r="80" spans="1:33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</sheetData>
  <conditionalFormatting sqref="B3:H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J85"/>
  <sheetViews>
    <sheetView showGridLines="0" tabSelected="1" topLeftCell="B23" zoomScale="40" zoomScaleNormal="40" workbookViewId="0">
      <selection activeCell="AB16" sqref="AB16"/>
    </sheetView>
  </sheetViews>
  <sheetFormatPr defaultColWidth="11" defaultRowHeight="15.75" x14ac:dyDescent="0.25"/>
  <cols>
    <col min="1" max="1" width="27.625" style="1" bestFit="1" customWidth="1"/>
    <col min="30" max="35" width="12" bestFit="1" customWidth="1"/>
    <col min="36" max="36" width="13" bestFit="1" customWidth="1"/>
  </cols>
  <sheetData>
    <row r="1" spans="1:36" x14ac:dyDescent="0.25">
      <c r="A1" s="7" t="s">
        <v>41</v>
      </c>
    </row>
    <row r="2" spans="1:36" x14ac:dyDescent="0.25">
      <c r="A2"/>
      <c r="B2" s="25" t="s">
        <v>16</v>
      </c>
      <c r="C2" s="25" t="s">
        <v>17</v>
      </c>
      <c r="D2" s="25" t="s">
        <v>18</v>
      </c>
      <c r="E2" s="25" t="s">
        <v>19</v>
      </c>
      <c r="F2" s="25" t="s">
        <v>20</v>
      </c>
      <c r="G2" s="25" t="s">
        <v>21</v>
      </c>
      <c r="H2" s="25" t="s">
        <v>22</v>
      </c>
    </row>
    <row r="3" spans="1:36" x14ac:dyDescent="0.25">
      <c r="A3" s="25" t="s">
        <v>16</v>
      </c>
      <c r="B3" s="22">
        <v>0</v>
      </c>
      <c r="C3" s="22">
        <v>4.6187845303867402E-2</v>
      </c>
      <c r="D3" s="22">
        <v>0.11093922651933701</v>
      </c>
      <c r="E3" s="22">
        <v>0.108508287292818</v>
      </c>
      <c r="F3" s="22">
        <v>0.54099447513812204</v>
      </c>
      <c r="G3" s="22">
        <v>0</v>
      </c>
      <c r="H3" s="22">
        <v>0</v>
      </c>
    </row>
    <row r="4" spans="1:36" x14ac:dyDescent="0.25">
      <c r="A4" s="25" t="s">
        <v>17</v>
      </c>
      <c r="B4" s="22">
        <v>0</v>
      </c>
      <c r="C4" s="22">
        <v>0.53392330383480802</v>
      </c>
      <c r="D4" s="22">
        <v>0.16617502458210401</v>
      </c>
      <c r="E4" s="22">
        <v>3.6381514257620401E-2</v>
      </c>
      <c r="F4" s="22">
        <v>0.15830875122910501</v>
      </c>
      <c r="G4" s="22">
        <v>0</v>
      </c>
      <c r="H4" s="22">
        <v>0</v>
      </c>
    </row>
    <row r="5" spans="1:36" x14ac:dyDescent="0.25">
      <c r="A5" s="25" t="s">
        <v>18</v>
      </c>
      <c r="B5" s="22">
        <v>0</v>
      </c>
      <c r="C5" s="22">
        <v>9.0497737556561098E-2</v>
      </c>
      <c r="D5" s="22">
        <v>0.39679777236338298</v>
      </c>
      <c r="E5" s="22">
        <v>8.8061260006961406E-2</v>
      </c>
      <c r="F5" s="22">
        <v>0.246780368952315</v>
      </c>
      <c r="G5" s="22">
        <v>0</v>
      </c>
      <c r="H5" s="22">
        <v>0</v>
      </c>
    </row>
    <row r="6" spans="1:36" x14ac:dyDescent="0.25">
      <c r="A6" s="25" t="s">
        <v>19</v>
      </c>
      <c r="B6" s="22">
        <v>0</v>
      </c>
      <c r="C6" s="22">
        <v>2.05908683974933E-2</v>
      </c>
      <c r="D6" s="22">
        <v>0.11593554162936399</v>
      </c>
      <c r="E6" s="22">
        <v>0.34243509400179101</v>
      </c>
      <c r="F6" s="22">
        <v>0.32408236347358998</v>
      </c>
      <c r="G6" s="22">
        <v>0</v>
      </c>
      <c r="H6" s="22">
        <v>0</v>
      </c>
    </row>
    <row r="7" spans="1:36" x14ac:dyDescent="0.25">
      <c r="A7" s="25" t="s">
        <v>20</v>
      </c>
      <c r="B7" s="22">
        <v>0</v>
      </c>
      <c r="C7" s="22">
        <v>2.09028241049589E-2</v>
      </c>
      <c r="D7" s="22">
        <v>8.0053368912608405E-2</v>
      </c>
      <c r="E7" s="22">
        <v>8.1165221258616901E-2</v>
      </c>
      <c r="F7" s="22">
        <v>0</v>
      </c>
      <c r="G7" s="22">
        <v>0.73582388258839204</v>
      </c>
      <c r="H7" s="22">
        <v>0</v>
      </c>
    </row>
    <row r="8" spans="1:36" x14ac:dyDescent="0.25">
      <c r="A8" s="25" t="s">
        <v>21</v>
      </c>
      <c r="B8" s="22">
        <v>0</v>
      </c>
      <c r="C8" s="22">
        <v>9.7244732576985404E-3</v>
      </c>
      <c r="D8" s="22">
        <v>3.94381415451108E-2</v>
      </c>
      <c r="E8" s="22">
        <v>4.2139384116693698E-2</v>
      </c>
      <c r="F8" s="22">
        <v>0</v>
      </c>
      <c r="G8" s="22">
        <v>0</v>
      </c>
      <c r="H8" s="22">
        <v>0.86709886547811998</v>
      </c>
    </row>
    <row r="9" spans="1:36" x14ac:dyDescent="0.25">
      <c r="A9" s="25" t="s">
        <v>22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36" x14ac:dyDescent="0.25">
      <c r="A10"/>
    </row>
    <row r="11" spans="1:36" s="24" customFormat="1" x14ac:dyDescent="0.25">
      <c r="A11" s="23"/>
    </row>
    <row r="12" spans="1:36" ht="16.5" thickBot="1" x14ac:dyDescent="0.3">
      <c r="A12" s="7" t="s">
        <v>7</v>
      </c>
    </row>
    <row r="13" spans="1:36" ht="16.5" thickBot="1" x14ac:dyDescent="0.3">
      <c r="A13" s="8" t="s">
        <v>8</v>
      </c>
      <c r="B13" s="5">
        <v>0</v>
      </c>
      <c r="C13" s="5">
        <v>1</v>
      </c>
      <c r="D13" s="5">
        <v>2</v>
      </c>
      <c r="E13" s="5">
        <v>3</v>
      </c>
      <c r="F13" s="5">
        <v>4</v>
      </c>
      <c r="G13" s="5">
        <v>5</v>
      </c>
      <c r="H13" s="5">
        <v>6</v>
      </c>
      <c r="I13" s="5">
        <v>7</v>
      </c>
      <c r="J13" s="5">
        <v>8</v>
      </c>
      <c r="K13" s="5">
        <v>9</v>
      </c>
      <c r="L13" s="5">
        <v>10</v>
      </c>
      <c r="M13" s="5">
        <v>11</v>
      </c>
      <c r="N13" s="5">
        <v>12</v>
      </c>
      <c r="O13" s="5">
        <v>13</v>
      </c>
      <c r="P13" s="5">
        <v>14</v>
      </c>
      <c r="Q13" s="5">
        <v>15</v>
      </c>
      <c r="R13" s="5">
        <v>16</v>
      </c>
      <c r="S13" s="5">
        <v>17</v>
      </c>
      <c r="T13" s="5">
        <v>18</v>
      </c>
      <c r="U13" s="6">
        <v>19</v>
      </c>
      <c r="AD13" t="s">
        <v>22</v>
      </c>
      <c r="AE13" t="s">
        <v>21</v>
      </c>
      <c r="AF13" t="s">
        <v>20</v>
      </c>
      <c r="AG13" t="s">
        <v>19</v>
      </c>
      <c r="AH13" t="s">
        <v>18</v>
      </c>
      <c r="AI13" t="s">
        <v>17</v>
      </c>
      <c r="AJ13" t="s">
        <v>16</v>
      </c>
    </row>
    <row r="14" spans="1:36" x14ac:dyDescent="0.25">
      <c r="A14" s="9" t="s">
        <v>16</v>
      </c>
      <c r="B14" s="12">
        <v>5750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3">
        <v>0</v>
      </c>
      <c r="AC14" t="s">
        <v>44</v>
      </c>
      <c r="AD14" s="35">
        <v>1605</v>
      </c>
      <c r="AE14" s="35">
        <v>3309</v>
      </c>
      <c r="AF14" s="35">
        <v>4042</v>
      </c>
      <c r="AG14" s="35">
        <v>3750</v>
      </c>
      <c r="AH14" s="35">
        <v>3965</v>
      </c>
      <c r="AI14" s="35">
        <v>1559</v>
      </c>
      <c r="AJ14" s="35">
        <v>5750</v>
      </c>
    </row>
    <row r="15" spans="1:36" x14ac:dyDescent="0.25">
      <c r="A15" s="9" t="s">
        <v>17</v>
      </c>
      <c r="B15" s="12">
        <v>1559</v>
      </c>
      <c r="C15" s="12">
        <v>1650.67332412004</v>
      </c>
      <c r="D15" s="12">
        <v>1387.5574427484801</v>
      </c>
      <c r="E15" s="12">
        <v>1086.46345986509</v>
      </c>
      <c r="F15" s="12">
        <v>809.36921733922998</v>
      </c>
      <c r="G15" s="12">
        <v>588.37599260289198</v>
      </c>
      <c r="H15" s="12">
        <v>421.34781458999402</v>
      </c>
      <c r="I15" s="12">
        <v>298.88717721748702</v>
      </c>
      <c r="J15" s="12">
        <v>210.775187828268</v>
      </c>
      <c r="K15" s="12">
        <v>148.088629757679</v>
      </c>
      <c r="L15" s="12">
        <v>103.800859882385</v>
      </c>
      <c r="M15" s="12">
        <v>72.648884180666599</v>
      </c>
      <c r="N15" s="12">
        <v>50.797376497142302</v>
      </c>
      <c r="O15" s="12">
        <v>35.496687736337798</v>
      </c>
      <c r="P15" s="12">
        <v>24.795008397021501</v>
      </c>
      <c r="Q15" s="12">
        <v>17.315368216343298</v>
      </c>
      <c r="R15" s="12">
        <v>12.0900858406778</v>
      </c>
      <c r="S15" s="12">
        <v>8.4407742590347397</v>
      </c>
      <c r="T15" s="12">
        <v>5.8925936943364103</v>
      </c>
      <c r="U15" s="13">
        <v>4.1135076791474896</v>
      </c>
      <c r="AC15" t="s">
        <v>45</v>
      </c>
      <c r="AD15" s="35">
        <v>4474.2301458671</v>
      </c>
      <c r="AE15" s="35">
        <v>2974.20013342228</v>
      </c>
      <c r="AF15" s="35">
        <v>5551.3146011322597</v>
      </c>
      <c r="AG15" s="35">
        <v>2781.4449774651198</v>
      </c>
      <c r="AH15" s="35">
        <v>3359.1053918581501</v>
      </c>
      <c r="AI15" s="35">
        <v>1650.67332412004</v>
      </c>
      <c r="AJ15" s="35">
        <v>0</v>
      </c>
    </row>
    <row r="16" spans="1:36" x14ac:dyDescent="0.25">
      <c r="A16" s="9" t="s">
        <v>18</v>
      </c>
      <c r="B16" s="12">
        <v>3965</v>
      </c>
      <c r="C16" s="12">
        <v>3359.1053918581501</v>
      </c>
      <c r="D16" s="12">
        <v>2491.3529083703002</v>
      </c>
      <c r="E16" s="12">
        <v>1758.1282893842599</v>
      </c>
      <c r="F16" s="12">
        <v>1196.43998504964</v>
      </c>
      <c r="G16" s="12">
        <v>824.95300325277503</v>
      </c>
      <c r="H16" s="12">
        <v>571.25279947676097</v>
      </c>
      <c r="I16" s="12">
        <v>396.40991599511398</v>
      </c>
      <c r="J16" s="12">
        <v>275.64778688319097</v>
      </c>
      <c r="K16" s="12">
        <v>191.934154722779</v>
      </c>
      <c r="L16" s="12">
        <v>133.759972413311</v>
      </c>
      <c r="M16" s="12">
        <v>93.271369883488404</v>
      </c>
      <c r="N16" s="12">
        <v>65.062606070499797</v>
      </c>
      <c r="O16" s="12">
        <v>45.396056103142499</v>
      </c>
      <c r="P16" s="12">
        <v>31.678999953869599</v>
      </c>
      <c r="Q16" s="12">
        <v>22.108926193487399</v>
      </c>
      <c r="R16" s="12">
        <v>15.430903095756801</v>
      </c>
      <c r="S16" s="12">
        <v>10.770421291686899</v>
      </c>
      <c r="T16" s="12">
        <v>7.5177064751119396</v>
      </c>
      <c r="U16" s="13">
        <v>5.2474136895685701</v>
      </c>
      <c r="AC16" t="s">
        <v>46</v>
      </c>
      <c r="AD16" s="35">
        <v>7053.15570726243</v>
      </c>
      <c r="AE16" s="35">
        <v>4084.7898632747701</v>
      </c>
      <c r="AF16" s="35">
        <v>1991.69456274974</v>
      </c>
      <c r="AG16" s="35">
        <v>1884.2300604377201</v>
      </c>
      <c r="AH16" s="35">
        <v>2491.3529083703002</v>
      </c>
      <c r="AI16" s="35">
        <v>1387.5574427484801</v>
      </c>
      <c r="AJ16" s="35">
        <v>0</v>
      </c>
    </row>
    <row r="17" spans="1:36" x14ac:dyDescent="0.25">
      <c r="A17" s="9" t="s">
        <v>19</v>
      </c>
      <c r="B17" s="12">
        <v>3750</v>
      </c>
      <c r="C17" s="12">
        <v>2781.4449774651198</v>
      </c>
      <c r="D17" s="12">
        <v>1884.2300604377201</v>
      </c>
      <c r="E17" s="12">
        <v>1248.8864739363901</v>
      </c>
      <c r="F17" s="12">
        <v>801.063444961708</v>
      </c>
      <c r="G17" s="12">
        <v>535.95397122653605</v>
      </c>
      <c r="H17" s="12">
        <v>364.35375741173601</v>
      </c>
      <c r="I17" s="12">
        <v>249.76166283438701</v>
      </c>
      <c r="J17" s="12">
        <v>172.33608131858099</v>
      </c>
      <c r="K17" s="12">
        <v>119.40727490320501</v>
      </c>
      <c r="L17" s="12">
        <v>82.951850503590293</v>
      </c>
      <c r="M17" s="12">
        <v>57.724959755596402</v>
      </c>
      <c r="N17" s="12">
        <v>40.214175334599403</v>
      </c>
      <c r="O17" s="12">
        <v>28.0350633611774</v>
      </c>
      <c r="P17" s="12">
        <v>19.553347538850399</v>
      </c>
      <c r="Q17" s="12">
        <v>13.641663465050801</v>
      </c>
      <c r="R17" s="12">
        <v>9.5190764434531996</v>
      </c>
      <c r="S17" s="12">
        <v>6.64315593052984</v>
      </c>
      <c r="T17" s="12">
        <v>4.63647086348944</v>
      </c>
      <c r="U17" s="13">
        <v>3.2361011266111999</v>
      </c>
      <c r="AC17" t="s">
        <v>47</v>
      </c>
      <c r="AD17" s="35">
        <v>10595.072363424501</v>
      </c>
      <c r="AE17" s="35">
        <v>1465.5364260927099</v>
      </c>
      <c r="AF17" s="35">
        <v>1445.12520725285</v>
      </c>
      <c r="AG17" s="35">
        <v>1248.8864739363901</v>
      </c>
      <c r="AH17" s="35">
        <v>1758.1282893842599</v>
      </c>
      <c r="AI17" s="35">
        <v>1086.46345986509</v>
      </c>
      <c r="AJ17" s="35">
        <v>0</v>
      </c>
    </row>
    <row r="18" spans="1:36" x14ac:dyDescent="0.25">
      <c r="A18" s="9" t="s">
        <v>20</v>
      </c>
      <c r="B18" s="12">
        <v>4042</v>
      </c>
      <c r="C18" s="12">
        <v>5551.3146011322597</v>
      </c>
      <c r="D18" s="12">
        <v>1991.69456274974</v>
      </c>
      <c r="E18" s="12">
        <v>1445.12520725285</v>
      </c>
      <c r="F18" s="12">
        <v>1010.61030169055</v>
      </c>
      <c r="G18" s="12">
        <v>682.99866555559095</v>
      </c>
      <c r="H18" s="12">
        <v>470.42050486134099</v>
      </c>
      <c r="I18" s="12">
        <v>325.75764982325097</v>
      </c>
      <c r="J18" s="12">
        <v>226.08599110578501</v>
      </c>
      <c r="K18" s="12">
        <v>157.24310386859901</v>
      </c>
      <c r="L18" s="12">
        <v>109.50709943177699</v>
      </c>
      <c r="M18" s="12">
        <v>76.3251516134074</v>
      </c>
      <c r="N18" s="12">
        <v>53.226138594375897</v>
      </c>
      <c r="O18" s="12">
        <v>37.130548157632703</v>
      </c>
      <c r="P18" s="12">
        <v>25.907961376644799</v>
      </c>
      <c r="Q18" s="12">
        <v>18.079917196915101</v>
      </c>
      <c r="R18" s="12">
        <v>12.6182458200347</v>
      </c>
      <c r="S18" s="12">
        <v>8.8069751428087404</v>
      </c>
      <c r="T18" s="12">
        <v>6.14710664737862</v>
      </c>
      <c r="U18" s="13">
        <v>4.2906699624703197</v>
      </c>
    </row>
    <row r="19" spans="1:36" x14ac:dyDescent="0.25">
      <c r="A19" s="9" t="s">
        <v>21</v>
      </c>
      <c r="B19" s="12">
        <v>3309</v>
      </c>
      <c r="C19" s="12">
        <v>2974.20013342228</v>
      </c>
      <c r="D19" s="12">
        <v>4084.7898632747701</v>
      </c>
      <c r="E19" s="12">
        <v>1465.5364260927099</v>
      </c>
      <c r="F19" s="12">
        <v>1063.3576408271499</v>
      </c>
      <c r="G19" s="12">
        <v>743.63119597376499</v>
      </c>
      <c r="H19" s="12">
        <v>502.56672989180601</v>
      </c>
      <c r="I19" s="12">
        <v>346.14664233626399</v>
      </c>
      <c r="J19" s="12">
        <v>239.70025867581401</v>
      </c>
      <c r="K19" s="12">
        <v>166.35947177430299</v>
      </c>
      <c r="L19" s="12">
        <v>115.703231198842</v>
      </c>
      <c r="M19" s="12">
        <v>80.577939074883304</v>
      </c>
      <c r="N19" s="12">
        <v>56.161869399325198</v>
      </c>
      <c r="O19" s="12">
        <v>39.165063955701498</v>
      </c>
      <c r="P19" s="12">
        <v>27.3215441079846</v>
      </c>
      <c r="Q19" s="12">
        <v>19.063696730112898</v>
      </c>
      <c r="R19" s="12">
        <v>13.3036348687107</v>
      </c>
      <c r="S19" s="12">
        <v>9.2848066307527208</v>
      </c>
      <c r="T19" s="12">
        <v>6.4803826434409899</v>
      </c>
      <c r="U19" s="13">
        <v>4.5231878799590497</v>
      </c>
    </row>
    <row r="20" spans="1:36" ht="16.5" thickBot="1" x14ac:dyDescent="0.3">
      <c r="A20" s="10" t="s">
        <v>22</v>
      </c>
      <c r="B20" s="14">
        <v>1605</v>
      </c>
      <c r="C20" s="14">
        <v>4474.2301458671</v>
      </c>
      <c r="D20" s="14">
        <v>7053.15570726243</v>
      </c>
      <c r="E20" s="14">
        <v>10595.072363424501</v>
      </c>
      <c r="F20" s="14">
        <v>11865.8373358064</v>
      </c>
      <c r="G20" s="14">
        <v>12787.8735397651</v>
      </c>
      <c r="H20" s="14">
        <v>13432.6753061281</v>
      </c>
      <c r="I20" s="14">
        <v>13868.450347444301</v>
      </c>
      <c r="J20" s="14">
        <v>14168.5937083031</v>
      </c>
      <c r="K20" s="14">
        <v>14376.437530655699</v>
      </c>
      <c r="L20" s="14">
        <v>14520.6876398928</v>
      </c>
      <c r="M20" s="14">
        <v>14621.013780397399</v>
      </c>
      <c r="N20" s="14">
        <v>14690.882819951799</v>
      </c>
      <c r="O20" s="14">
        <v>14739.580713191101</v>
      </c>
      <c r="P20" s="14">
        <v>14773.5406957135</v>
      </c>
      <c r="Q20" s="14">
        <v>14797.2311756126</v>
      </c>
      <c r="R20" s="14">
        <v>14813.761285419099</v>
      </c>
      <c r="S20" s="14">
        <v>14825.2968521205</v>
      </c>
      <c r="T20" s="14">
        <v>14833.3476974162</v>
      </c>
      <c r="U20" s="15">
        <v>14838.9668298542</v>
      </c>
    </row>
    <row r="23" spans="1:36" ht="16.5" thickBot="1" x14ac:dyDescent="0.3">
      <c r="A23" s="7" t="s">
        <v>11</v>
      </c>
    </row>
    <row r="24" spans="1:36" s="1" customFormat="1" ht="16.5" thickBot="1" x14ac:dyDescent="0.3">
      <c r="A24" s="8" t="s">
        <v>8</v>
      </c>
      <c r="B24" s="5">
        <v>0</v>
      </c>
      <c r="C24" s="5">
        <v>1</v>
      </c>
      <c r="D24" s="5">
        <v>2</v>
      </c>
      <c r="E24" s="5">
        <v>3</v>
      </c>
      <c r="F24" s="5">
        <v>4</v>
      </c>
      <c r="G24" s="5">
        <v>5</v>
      </c>
      <c r="H24" s="5">
        <v>6</v>
      </c>
      <c r="I24" s="5">
        <v>7</v>
      </c>
      <c r="J24" s="5">
        <v>8</v>
      </c>
      <c r="K24" s="5">
        <v>9</v>
      </c>
      <c r="L24" s="5">
        <v>10</v>
      </c>
      <c r="M24" s="5">
        <v>11</v>
      </c>
      <c r="N24" s="5">
        <v>12</v>
      </c>
      <c r="O24" s="5">
        <v>13</v>
      </c>
      <c r="P24" s="5">
        <v>14</v>
      </c>
      <c r="Q24" s="5">
        <v>15</v>
      </c>
      <c r="R24" s="5">
        <v>16</v>
      </c>
      <c r="S24" s="5">
        <v>17</v>
      </c>
      <c r="T24" s="5">
        <v>18</v>
      </c>
      <c r="U24" s="6">
        <v>19</v>
      </c>
    </row>
    <row r="25" spans="1:36" x14ac:dyDescent="0.25">
      <c r="A25" s="9" t="s">
        <v>16</v>
      </c>
      <c r="B25" s="12">
        <v>258750</v>
      </c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3">
        <v>0</v>
      </c>
    </row>
    <row r="26" spans="1:36" x14ac:dyDescent="0.25">
      <c r="A26" s="9" t="s">
        <v>17</v>
      </c>
      <c r="B26" s="12">
        <v>132515</v>
      </c>
      <c r="C26" s="12">
        <v>140307.23255020301</v>
      </c>
      <c r="D26" s="12">
        <v>117942.382633621</v>
      </c>
      <c r="E26" s="12">
        <v>92349.394088532295</v>
      </c>
      <c r="F26" s="12">
        <v>68796.383473834503</v>
      </c>
      <c r="G26" s="12">
        <v>50011.959371245801</v>
      </c>
      <c r="H26" s="12">
        <v>35814.564240149499</v>
      </c>
      <c r="I26" s="12">
        <v>25405.410063486401</v>
      </c>
      <c r="J26" s="12">
        <v>17915.890965402799</v>
      </c>
      <c r="K26" s="12">
        <v>12587.533529402799</v>
      </c>
      <c r="L26" s="12">
        <v>8823.0730900026992</v>
      </c>
      <c r="M26" s="12">
        <v>6175.1551553566596</v>
      </c>
      <c r="N26" s="12">
        <v>4317.7770022571003</v>
      </c>
      <c r="O26" s="12">
        <v>3017.21845758872</v>
      </c>
      <c r="P26" s="12">
        <v>2107.5757137468299</v>
      </c>
      <c r="Q26" s="12">
        <v>1471.80629838918</v>
      </c>
      <c r="R26" s="12">
        <v>1027.6572964576101</v>
      </c>
      <c r="S26" s="12">
        <v>717.465812017953</v>
      </c>
      <c r="T26" s="12">
        <v>500.87046401859499</v>
      </c>
      <c r="U26" s="13">
        <v>349.64815272753702</v>
      </c>
    </row>
    <row r="27" spans="1:36" x14ac:dyDescent="0.25">
      <c r="A27" s="9" t="s">
        <v>18</v>
      </c>
      <c r="B27" s="12">
        <v>154635</v>
      </c>
      <c r="C27" s="12">
        <v>131005.110282468</v>
      </c>
      <c r="D27" s="12">
        <v>97162.763426441496</v>
      </c>
      <c r="E27" s="12">
        <v>68567.003285986299</v>
      </c>
      <c r="F27" s="12">
        <v>46661.159416936098</v>
      </c>
      <c r="G27" s="12">
        <v>32173.167126858199</v>
      </c>
      <c r="H27" s="12">
        <v>22278.859179593699</v>
      </c>
      <c r="I27" s="12">
        <v>15459.986723809399</v>
      </c>
      <c r="J27" s="12">
        <v>10750.2636884445</v>
      </c>
      <c r="K27" s="12">
        <v>7485.4320341883904</v>
      </c>
      <c r="L27" s="12">
        <v>5216.63892411913</v>
      </c>
      <c r="M27" s="12">
        <v>3637.58342545605</v>
      </c>
      <c r="N27" s="12">
        <v>2537.44163674949</v>
      </c>
      <c r="O27" s="12">
        <v>1770.4461880225599</v>
      </c>
      <c r="P27" s="12">
        <v>1235.4809982009101</v>
      </c>
      <c r="Q27" s="12">
        <v>862.24812154600704</v>
      </c>
      <c r="R27" s="12">
        <v>601.80522073451402</v>
      </c>
      <c r="S27" s="12">
        <v>420.04643037578802</v>
      </c>
      <c r="T27" s="12">
        <v>293.19055252936602</v>
      </c>
      <c r="U27" s="13">
        <v>204.649133893174</v>
      </c>
    </row>
    <row r="28" spans="1:36" x14ac:dyDescent="0.25">
      <c r="A28" s="9" t="s">
        <v>19</v>
      </c>
      <c r="B28" s="12">
        <v>75000</v>
      </c>
      <c r="C28" s="12">
        <v>55628.899549302303</v>
      </c>
      <c r="D28" s="12">
        <v>37684.601208754502</v>
      </c>
      <c r="E28" s="12">
        <v>24977.729478727801</v>
      </c>
      <c r="F28" s="12">
        <v>16021.268899234199</v>
      </c>
      <c r="G28" s="12">
        <v>10719.079424530701</v>
      </c>
      <c r="H28" s="12">
        <v>7287.0751482347196</v>
      </c>
      <c r="I28" s="12">
        <v>4995.2332566877303</v>
      </c>
      <c r="J28" s="12">
        <v>3446.72162637162</v>
      </c>
      <c r="K28" s="12">
        <v>2388.1454980641001</v>
      </c>
      <c r="L28" s="12">
        <v>1659.0370100718101</v>
      </c>
      <c r="M28" s="12">
        <v>1154.49919511193</v>
      </c>
      <c r="N28" s="12">
        <v>804.28350669198903</v>
      </c>
      <c r="O28" s="12">
        <v>560.70126722354803</v>
      </c>
      <c r="P28" s="12">
        <v>391.066950777008</v>
      </c>
      <c r="Q28" s="12">
        <v>272.83326930101703</v>
      </c>
      <c r="R28" s="12">
        <v>190.381528869064</v>
      </c>
      <c r="S28" s="12">
        <v>132.86311861059701</v>
      </c>
      <c r="T28" s="12">
        <v>92.729417269788698</v>
      </c>
      <c r="U28" s="13">
        <v>64.722022532223903</v>
      </c>
    </row>
    <row r="29" spans="1:36" x14ac:dyDescent="0.25">
      <c r="A29" s="9" t="s">
        <v>20</v>
      </c>
      <c r="B29" s="12">
        <v>0</v>
      </c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3">
        <v>0</v>
      </c>
    </row>
    <row r="30" spans="1:36" x14ac:dyDescent="0.25">
      <c r="A30" s="9" t="s">
        <v>21</v>
      </c>
      <c r="B30" s="12">
        <v>0</v>
      </c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3">
        <v>0</v>
      </c>
    </row>
    <row r="31" spans="1:36" ht="16.5" thickBot="1" x14ac:dyDescent="0.3">
      <c r="A31" s="10" t="s">
        <v>22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5">
        <v>0</v>
      </c>
    </row>
    <row r="33" spans="1:21" ht="16.5" thickBot="1" x14ac:dyDescent="0.3">
      <c r="A33" s="7" t="s">
        <v>12</v>
      </c>
    </row>
    <row r="34" spans="1:21" s="1" customFormat="1" ht="16.5" thickBot="1" x14ac:dyDescent="0.3">
      <c r="A34" s="8" t="s">
        <v>8</v>
      </c>
      <c r="B34" s="5">
        <v>0</v>
      </c>
      <c r="C34" s="5">
        <v>1</v>
      </c>
      <c r="D34" s="5">
        <v>2</v>
      </c>
      <c r="E34" s="5">
        <v>3</v>
      </c>
      <c r="F34" s="5">
        <v>4</v>
      </c>
      <c r="G34" s="5">
        <v>5</v>
      </c>
      <c r="H34" s="5">
        <v>6</v>
      </c>
      <c r="I34" s="5">
        <v>7</v>
      </c>
      <c r="J34" s="5">
        <v>8</v>
      </c>
      <c r="K34" s="5">
        <v>9</v>
      </c>
      <c r="L34" s="5">
        <v>10</v>
      </c>
      <c r="M34" s="5">
        <v>11</v>
      </c>
      <c r="N34" s="5">
        <v>12</v>
      </c>
      <c r="O34" s="5">
        <v>13</v>
      </c>
      <c r="P34" s="5">
        <v>14</v>
      </c>
      <c r="Q34" s="5">
        <v>15</v>
      </c>
      <c r="R34" s="5">
        <v>16</v>
      </c>
      <c r="S34" s="5">
        <v>17</v>
      </c>
      <c r="T34" s="5">
        <v>18</v>
      </c>
      <c r="U34" s="6">
        <v>19</v>
      </c>
    </row>
    <row r="35" spans="1:21" ht="16.5" thickBot="1" x14ac:dyDescent="0.3">
      <c r="A35" s="10" t="s">
        <v>23</v>
      </c>
      <c r="B35">
        <v>620900</v>
      </c>
      <c r="C35">
        <v>326941.24238197302</v>
      </c>
      <c r="D35">
        <v>252789.74726881701</v>
      </c>
      <c r="E35">
        <v>185894.12685324601</v>
      </c>
      <c r="F35">
        <v>131478.81179000501</v>
      </c>
      <c r="G35">
        <v>92904.205922634806</v>
      </c>
      <c r="H35">
        <v>65380.498567977898</v>
      </c>
      <c r="I35">
        <v>45860.630043983503</v>
      </c>
      <c r="J35">
        <v>32112.876280218799</v>
      </c>
      <c r="K35">
        <v>22461.1110616552</v>
      </c>
      <c r="L35">
        <v>15698.749024193599</v>
      </c>
      <c r="M35">
        <v>10967.237775924599</v>
      </c>
      <c r="N35">
        <v>7659.5021456985796</v>
      </c>
      <c r="O35">
        <v>5348.3659128348199</v>
      </c>
      <c r="P35">
        <v>3734.1236627247499</v>
      </c>
      <c r="Q35">
        <v>2606.8876892362</v>
      </c>
      <c r="R35">
        <v>1819.8440460611901</v>
      </c>
      <c r="S35">
        <v>1270.37536100434</v>
      </c>
      <c r="T35">
        <v>886.79043381774898</v>
      </c>
      <c r="U35">
        <v>619.01930915293497</v>
      </c>
    </row>
    <row r="37" spans="1:21" ht="16.5" thickBot="1" x14ac:dyDescent="0.3">
      <c r="A37" s="7" t="s">
        <v>13</v>
      </c>
    </row>
    <row r="38" spans="1:21" x14ac:dyDescent="0.25">
      <c r="A38" s="11" t="s">
        <v>8</v>
      </c>
      <c r="B38" s="2">
        <v>0</v>
      </c>
      <c r="C38" s="2">
        <v>1</v>
      </c>
      <c r="D38" s="2">
        <v>2</v>
      </c>
      <c r="E38" s="2">
        <v>3</v>
      </c>
      <c r="F38" s="2">
        <v>4</v>
      </c>
      <c r="G38" s="2">
        <v>5</v>
      </c>
      <c r="H38" s="2">
        <v>6</v>
      </c>
      <c r="I38" s="2">
        <v>7</v>
      </c>
      <c r="J38" s="2">
        <v>8</v>
      </c>
      <c r="K38" s="2">
        <v>9</v>
      </c>
      <c r="L38" s="2">
        <v>10</v>
      </c>
      <c r="M38" s="2">
        <v>11</v>
      </c>
      <c r="N38" s="2">
        <v>12</v>
      </c>
      <c r="O38" s="2">
        <v>13</v>
      </c>
      <c r="P38" s="2">
        <v>14</v>
      </c>
      <c r="Q38" s="2">
        <v>15</v>
      </c>
      <c r="R38" s="2">
        <v>16</v>
      </c>
      <c r="S38" s="2">
        <v>17</v>
      </c>
      <c r="T38" s="2">
        <v>18</v>
      </c>
      <c r="U38" s="3">
        <v>19</v>
      </c>
    </row>
    <row r="39" spans="1:21" ht="16.5" thickBot="1" x14ac:dyDescent="0.3">
      <c r="A39" s="10" t="s">
        <v>23</v>
      </c>
      <c r="B39">
        <v>620900</v>
      </c>
      <c r="C39">
        <v>947841.24238197296</v>
      </c>
      <c r="D39">
        <v>1200630.9896507901</v>
      </c>
      <c r="E39">
        <v>1386525.1165040401</v>
      </c>
      <c r="F39">
        <v>1518003.92829404</v>
      </c>
      <c r="G39">
        <v>1610908.13421668</v>
      </c>
      <c r="H39">
        <v>1676288.63278465</v>
      </c>
      <c r="I39">
        <v>1722149.2628286399</v>
      </c>
      <c r="J39">
        <v>1754262.1391088599</v>
      </c>
      <c r="K39">
        <v>1776723.25017051</v>
      </c>
      <c r="L39">
        <v>1792421.99919471</v>
      </c>
      <c r="M39">
        <v>1803389.23697063</v>
      </c>
      <c r="N39">
        <v>1811048.7391163299</v>
      </c>
      <c r="O39">
        <v>1816397.1050291599</v>
      </c>
      <c r="P39">
        <v>1820131.2286918899</v>
      </c>
      <c r="Q39">
        <v>1822738.1163811199</v>
      </c>
      <c r="R39">
        <v>1824557.9604271899</v>
      </c>
      <c r="S39">
        <v>1825828.3357881899</v>
      </c>
      <c r="T39">
        <v>1826715.12622201</v>
      </c>
      <c r="U39">
        <v>1827334.1455311601</v>
      </c>
    </row>
    <row r="40" spans="1:21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spans="1:21" ht="16.5" thickBot="1" x14ac:dyDescent="0.3">
      <c r="A41" s="7" t="s">
        <v>14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</row>
    <row r="42" spans="1:21" s="4" customFormat="1" ht="16.5" thickBot="1" x14ac:dyDescent="0.3">
      <c r="A42" s="8" t="s">
        <v>8</v>
      </c>
      <c r="B42" s="17">
        <v>0</v>
      </c>
      <c r="C42" s="17">
        <v>1</v>
      </c>
      <c r="D42" s="17">
        <v>2</v>
      </c>
      <c r="E42" s="17">
        <v>3</v>
      </c>
      <c r="F42" s="17">
        <v>4</v>
      </c>
      <c r="G42" s="17">
        <v>5</v>
      </c>
      <c r="H42" s="17">
        <v>6</v>
      </c>
      <c r="I42" s="17">
        <v>7</v>
      </c>
      <c r="J42" s="17">
        <v>8</v>
      </c>
      <c r="K42" s="17">
        <v>9</v>
      </c>
      <c r="L42" s="17">
        <v>10</v>
      </c>
      <c r="M42" s="17">
        <v>11</v>
      </c>
      <c r="N42" s="17">
        <v>12</v>
      </c>
      <c r="O42" s="17">
        <v>13</v>
      </c>
      <c r="P42" s="17">
        <v>14</v>
      </c>
      <c r="Q42" s="17">
        <v>15</v>
      </c>
      <c r="R42" s="17">
        <v>16</v>
      </c>
      <c r="S42" s="17">
        <v>17</v>
      </c>
      <c r="T42" s="17">
        <v>18</v>
      </c>
      <c r="U42" s="18">
        <v>19</v>
      </c>
    </row>
    <row r="43" spans="1:21" ht="16.5" thickBot="1" x14ac:dyDescent="0.3">
      <c r="A43" s="10" t="s">
        <v>23</v>
      </c>
      <c r="B43">
        <v>620900</v>
      </c>
      <c r="C43">
        <v>284296.732506064</v>
      </c>
      <c r="D43">
        <v>191145.366554871</v>
      </c>
      <c r="E43">
        <v>122228.405919781</v>
      </c>
      <c r="F43">
        <v>75173.437367650899</v>
      </c>
      <c r="G43">
        <v>46189.8097960956</v>
      </c>
      <c r="H43">
        <v>28265.7937653929</v>
      </c>
      <c r="I43">
        <v>17240.709507743199</v>
      </c>
      <c r="J43">
        <v>10497.7562193061</v>
      </c>
      <c r="K43">
        <v>6384.8496074877203</v>
      </c>
      <c r="L43">
        <v>3880.4906640262302</v>
      </c>
      <c r="M43">
        <v>2357.3334318352699</v>
      </c>
      <c r="N43">
        <v>1431.61571790118</v>
      </c>
      <c r="O43">
        <v>869.25898341170796</v>
      </c>
      <c r="P43">
        <v>527.73868600716696</v>
      </c>
      <c r="Q43">
        <v>320.37212055681198</v>
      </c>
      <c r="R43">
        <v>194.477214951901</v>
      </c>
      <c r="S43">
        <v>118.05075690599</v>
      </c>
      <c r="T43">
        <v>71.657206443033999</v>
      </c>
      <c r="U43">
        <v>43.495590327657801</v>
      </c>
    </row>
    <row r="44" spans="1:21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16.5" thickBot="1" x14ac:dyDescent="0.3">
      <c r="A45" s="7" t="s">
        <v>15</v>
      </c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</row>
    <row r="46" spans="1:21" ht="16.5" thickBot="1" x14ac:dyDescent="0.3">
      <c r="A46" s="8" t="s">
        <v>8</v>
      </c>
      <c r="B46" s="17">
        <v>0</v>
      </c>
      <c r="C46" s="17">
        <v>1</v>
      </c>
      <c r="D46" s="17">
        <v>2</v>
      </c>
      <c r="E46" s="17">
        <v>3</v>
      </c>
      <c r="F46" s="17">
        <v>4</v>
      </c>
      <c r="G46" s="17">
        <v>5</v>
      </c>
      <c r="H46" s="17">
        <v>6</v>
      </c>
      <c r="I46" s="17">
        <v>7</v>
      </c>
      <c r="J46" s="17">
        <v>8</v>
      </c>
      <c r="K46" s="17">
        <v>9</v>
      </c>
      <c r="L46" s="17">
        <v>10</v>
      </c>
      <c r="M46" s="17">
        <v>11</v>
      </c>
      <c r="N46" s="17">
        <v>12</v>
      </c>
      <c r="O46" s="17">
        <v>13</v>
      </c>
      <c r="P46" s="17">
        <v>14</v>
      </c>
      <c r="Q46" s="17">
        <v>15</v>
      </c>
      <c r="R46" s="17">
        <v>16</v>
      </c>
      <c r="S46" s="17">
        <v>17</v>
      </c>
      <c r="T46" s="17">
        <v>18</v>
      </c>
      <c r="U46" s="18">
        <v>19</v>
      </c>
    </row>
    <row r="47" spans="1:21" ht="16.5" thickBot="1" x14ac:dyDescent="0.3">
      <c r="A47" s="10" t="s">
        <v>24</v>
      </c>
      <c r="B47">
        <v>620900</v>
      </c>
      <c r="C47">
        <v>905196.732506064</v>
      </c>
      <c r="D47">
        <v>1096342.0990609301</v>
      </c>
      <c r="E47">
        <v>1218570.5049807201</v>
      </c>
      <c r="F47">
        <v>1293743.9423483701</v>
      </c>
      <c r="G47">
        <v>1339933.7521444601</v>
      </c>
      <c r="H47">
        <v>1368199.5459098599</v>
      </c>
      <c r="I47">
        <v>1385440.2554176</v>
      </c>
      <c r="J47">
        <v>1395938.0116369</v>
      </c>
      <c r="K47">
        <v>1402322.86124439</v>
      </c>
      <c r="L47">
        <v>1406203.35190842</v>
      </c>
      <c r="M47">
        <v>1408560.6853402499</v>
      </c>
      <c r="N47">
        <v>1409992.3010581499</v>
      </c>
      <c r="O47">
        <v>1410861.5600415701</v>
      </c>
      <c r="P47">
        <v>1411389.2987275701</v>
      </c>
      <c r="Q47">
        <v>1411709.67084813</v>
      </c>
      <c r="R47">
        <v>1411904.1480630799</v>
      </c>
      <c r="S47">
        <v>1412022.19881999</v>
      </c>
      <c r="T47">
        <v>1412093.8560264299</v>
      </c>
      <c r="U47">
        <v>1412137.35161676</v>
      </c>
    </row>
    <row r="51" spans="1:33" ht="16.5" thickBot="1" x14ac:dyDescent="0.3">
      <c r="A51" s="7" t="s">
        <v>42</v>
      </c>
    </row>
    <row r="52" spans="1:33" ht="16.5" thickBot="1" x14ac:dyDescent="0.3">
      <c r="A52" s="8" t="s">
        <v>8</v>
      </c>
      <c r="B52" s="5">
        <v>0</v>
      </c>
      <c r="C52" s="5">
        <v>1</v>
      </c>
      <c r="D52" s="5">
        <v>2</v>
      </c>
      <c r="E52" s="5">
        <v>3</v>
      </c>
      <c r="F52" s="5">
        <v>4</v>
      </c>
      <c r="G52" s="5">
        <v>5</v>
      </c>
      <c r="H52" s="5">
        <v>6</v>
      </c>
      <c r="I52" s="5">
        <v>7</v>
      </c>
      <c r="J52" s="5">
        <v>8</v>
      </c>
      <c r="K52" s="5">
        <v>9</v>
      </c>
      <c r="L52" s="5">
        <v>10</v>
      </c>
      <c r="M52" s="5">
        <v>11</v>
      </c>
      <c r="N52" s="5">
        <v>12</v>
      </c>
      <c r="O52" s="5">
        <v>13</v>
      </c>
      <c r="P52" s="5">
        <v>14</v>
      </c>
      <c r="Q52" s="5">
        <v>15</v>
      </c>
      <c r="R52" s="5">
        <v>16</v>
      </c>
      <c r="S52" s="5">
        <v>17</v>
      </c>
      <c r="T52" s="5">
        <v>18</v>
      </c>
      <c r="U52" s="6">
        <v>19</v>
      </c>
    </row>
    <row r="53" spans="1:33" x14ac:dyDescent="0.25">
      <c r="A53" s="9" t="s">
        <v>16</v>
      </c>
      <c r="B53" s="26">
        <f>+B25/B$35</f>
        <v>0.41673377355451763</v>
      </c>
      <c r="C53" s="26">
        <f t="shared" ref="C53:U53" si="0">+C25/C$35</f>
        <v>0</v>
      </c>
      <c r="D53" s="26">
        <f t="shared" si="0"/>
        <v>0</v>
      </c>
      <c r="E53" s="26">
        <f t="shared" si="0"/>
        <v>0</v>
      </c>
      <c r="F53" s="26">
        <f t="shared" si="0"/>
        <v>0</v>
      </c>
      <c r="G53" s="26">
        <f t="shared" si="0"/>
        <v>0</v>
      </c>
      <c r="H53" s="26">
        <f t="shared" si="0"/>
        <v>0</v>
      </c>
      <c r="I53" s="26">
        <f t="shared" si="0"/>
        <v>0</v>
      </c>
      <c r="J53" s="26">
        <f t="shared" si="0"/>
        <v>0</v>
      </c>
      <c r="K53" s="26">
        <f t="shared" si="0"/>
        <v>0</v>
      </c>
      <c r="L53" s="26">
        <f t="shared" si="0"/>
        <v>0</v>
      </c>
      <c r="M53" s="26">
        <f t="shared" si="0"/>
        <v>0</v>
      </c>
      <c r="N53" s="26">
        <f t="shared" si="0"/>
        <v>0</v>
      </c>
      <c r="O53" s="26">
        <f t="shared" si="0"/>
        <v>0</v>
      </c>
      <c r="P53" s="26">
        <f t="shared" si="0"/>
        <v>0</v>
      </c>
      <c r="Q53" s="26">
        <f t="shared" si="0"/>
        <v>0</v>
      </c>
      <c r="R53" s="26">
        <f t="shared" si="0"/>
        <v>0</v>
      </c>
      <c r="S53" s="26">
        <f t="shared" si="0"/>
        <v>0</v>
      </c>
      <c r="T53" s="26">
        <f t="shared" si="0"/>
        <v>0</v>
      </c>
      <c r="U53" s="27">
        <f t="shared" si="0"/>
        <v>0</v>
      </c>
    </row>
    <row r="54" spans="1:33" x14ac:dyDescent="0.25">
      <c r="A54" s="9" t="s">
        <v>17</v>
      </c>
      <c r="B54" s="26">
        <f t="shared" ref="B54:U54" si="1">+B26/B$35</f>
        <v>0.21342406184570784</v>
      </c>
      <c r="C54" s="26">
        <f t="shared" si="1"/>
        <v>0.4291512185124654</v>
      </c>
      <c r="D54" s="26">
        <f t="shared" si="1"/>
        <v>0.46656315735859688</v>
      </c>
      <c r="E54" s="26">
        <f t="shared" si="1"/>
        <v>0.49678489391672637</v>
      </c>
      <c r="F54" s="26">
        <f t="shared" si="1"/>
        <v>0.52325072410689666</v>
      </c>
      <c r="G54" s="26">
        <f t="shared" si="1"/>
        <v>0.53831749461259959</v>
      </c>
      <c r="H54" s="26">
        <f t="shared" si="1"/>
        <v>0.54778664930051146</v>
      </c>
      <c r="I54" s="26">
        <f t="shared" si="1"/>
        <v>0.55396993105242698</v>
      </c>
      <c r="J54" s="26">
        <f t="shared" si="1"/>
        <v>0.55790365238752537</v>
      </c>
      <c r="K54" s="26">
        <f t="shared" si="1"/>
        <v>0.560414553618934</v>
      </c>
      <c r="L54" s="26">
        <f t="shared" si="1"/>
        <v>0.56202395976936226</v>
      </c>
      <c r="M54" s="26">
        <f t="shared" si="1"/>
        <v>0.56305473461261391</v>
      </c>
      <c r="N54" s="26">
        <f t="shared" si="1"/>
        <v>0.5637150979430009</v>
      </c>
      <c r="O54" s="26">
        <f t="shared" si="1"/>
        <v>0.56413837548925094</v>
      </c>
      <c r="P54" s="26">
        <f t="shared" si="1"/>
        <v>0.56440972611200413</v>
      </c>
      <c r="Q54" s="26">
        <f t="shared" si="1"/>
        <v>0.56458370050472295</v>
      </c>
      <c r="R54" s="26">
        <f t="shared" si="1"/>
        <v>0.5646952543443694</v>
      </c>
      <c r="S54" s="26">
        <f t="shared" si="1"/>
        <v>0.56476678786554479</v>
      </c>
      <c r="T54" s="26">
        <f t="shared" si="1"/>
        <v>0.56481266026098409</v>
      </c>
      <c r="U54" s="27">
        <f t="shared" si="1"/>
        <v>0.5648420777148212</v>
      </c>
    </row>
    <row r="55" spans="1:33" x14ac:dyDescent="0.25">
      <c r="A55" s="9" t="s">
        <v>18</v>
      </c>
      <c r="B55" s="26">
        <f>+B27/B$35</f>
        <v>0.24904976646803029</v>
      </c>
      <c r="C55" s="26">
        <f t="shared" ref="B55:U55" si="2">+C27/C$35</f>
        <v>0.40069924897823594</v>
      </c>
      <c r="D55" s="26">
        <f t="shared" si="2"/>
        <v>0.38436196276235229</v>
      </c>
      <c r="E55" s="26">
        <f t="shared" si="2"/>
        <v>0.36884975575434115</v>
      </c>
      <c r="F55" s="26">
        <f t="shared" si="2"/>
        <v>0.35489489737298696</v>
      </c>
      <c r="G55" s="26">
        <f t="shared" si="2"/>
        <v>0.34630474269001482</v>
      </c>
      <c r="H55" s="26">
        <f t="shared" si="2"/>
        <v>0.34075694844128113</v>
      </c>
      <c r="I55" s="26">
        <f t="shared" si="2"/>
        <v>0.3371080316380784</v>
      </c>
      <c r="J55" s="26">
        <f t="shared" si="2"/>
        <v>0.33476489600735487</v>
      </c>
      <c r="K55" s="26">
        <f t="shared" si="2"/>
        <v>0.33326187710131805</v>
      </c>
      <c r="L55" s="26">
        <f t="shared" si="2"/>
        <v>0.33229647254565842</v>
      </c>
      <c r="M55" s="26">
        <f t="shared" si="2"/>
        <v>0.33167726457443214</v>
      </c>
      <c r="N55" s="26">
        <f t="shared" si="2"/>
        <v>0.33128023055316536</v>
      </c>
      <c r="O55" s="26">
        <f t="shared" si="2"/>
        <v>0.3310256285520603</v>
      </c>
      <c r="P55" s="26">
        <f t="shared" si="2"/>
        <v>0.33086236820003784</v>
      </c>
      <c r="Q55" s="26">
        <f t="shared" si="2"/>
        <v>0.33075767901556197</v>
      </c>
      <c r="R55" s="26">
        <f t="shared" si="2"/>
        <v>0.33069054572947676</v>
      </c>
      <c r="S55" s="26">
        <f t="shared" si="2"/>
        <v>0.33064749464576004</v>
      </c>
      <c r="T55" s="26">
        <f t="shared" si="2"/>
        <v>0.33061988644503332</v>
      </c>
      <c r="U55" s="27">
        <f t="shared" si="2"/>
        <v>0.33060218133294672</v>
      </c>
    </row>
    <row r="56" spans="1:33" x14ac:dyDescent="0.25">
      <c r="A56" s="9" t="s">
        <v>19</v>
      </c>
      <c r="B56" s="26">
        <f t="shared" ref="B56:U56" si="3">+B28/B$35</f>
        <v>0.12079239813174424</v>
      </c>
      <c r="C56" s="26">
        <f t="shared" si="3"/>
        <v>0.17014953250929957</v>
      </c>
      <c r="D56" s="26">
        <f t="shared" si="3"/>
        <v>0.1490748798790508</v>
      </c>
      <c r="E56" s="26">
        <f t="shared" si="3"/>
        <v>0.13436535032893457</v>
      </c>
      <c r="F56" s="26">
        <f t="shared" si="3"/>
        <v>0.12185437852011477</v>
      </c>
      <c r="G56" s="26">
        <f t="shared" si="3"/>
        <v>0.11537776269738448</v>
      </c>
      <c r="H56" s="26">
        <f t="shared" si="3"/>
        <v>0.11145640225820774</v>
      </c>
      <c r="I56" s="26">
        <f t="shared" si="3"/>
        <v>0.10892203730949526</v>
      </c>
      <c r="J56" s="26">
        <f t="shared" si="3"/>
        <v>0.10733145160512342</v>
      </c>
      <c r="K56" s="26">
        <f t="shared" si="3"/>
        <v>0.10632356927975198</v>
      </c>
      <c r="L56" s="26">
        <f t="shared" si="3"/>
        <v>0.10567956768498184</v>
      </c>
      <c r="M56" s="26">
        <f t="shared" si="3"/>
        <v>0.1052680008129576</v>
      </c>
      <c r="N56" s="26">
        <f t="shared" si="3"/>
        <v>0.10500467150383375</v>
      </c>
      <c r="O56" s="26">
        <f t="shared" si="3"/>
        <v>0.10483599595869028</v>
      </c>
      <c r="P56" s="26">
        <f t="shared" si="3"/>
        <v>0.10472790568795749</v>
      </c>
      <c r="Q56" s="26">
        <f t="shared" si="3"/>
        <v>0.10465862047971666</v>
      </c>
      <c r="R56" s="26">
        <f t="shared" si="3"/>
        <v>0.10461419992615272</v>
      </c>
      <c r="S56" s="26">
        <f t="shared" si="3"/>
        <v>0.10458571748869358</v>
      </c>
      <c r="T56" s="26">
        <f t="shared" si="3"/>
        <v>0.10456745329398334</v>
      </c>
      <c r="U56" s="27">
        <f t="shared" si="3"/>
        <v>0.10455574095223204</v>
      </c>
    </row>
    <row r="57" spans="1:33" x14ac:dyDescent="0.25">
      <c r="A57" s="9" t="s">
        <v>20</v>
      </c>
      <c r="B57" s="26">
        <f t="shared" ref="B57:U57" si="4">+B29/B$35</f>
        <v>0</v>
      </c>
      <c r="C57" s="26">
        <f t="shared" si="4"/>
        <v>0</v>
      </c>
      <c r="D57" s="26">
        <f t="shared" si="4"/>
        <v>0</v>
      </c>
      <c r="E57" s="26">
        <f t="shared" si="4"/>
        <v>0</v>
      </c>
      <c r="F57" s="26">
        <f t="shared" si="4"/>
        <v>0</v>
      </c>
      <c r="G57" s="26">
        <f t="shared" si="4"/>
        <v>0</v>
      </c>
      <c r="H57" s="26">
        <f t="shared" si="4"/>
        <v>0</v>
      </c>
      <c r="I57" s="26">
        <f t="shared" si="4"/>
        <v>0</v>
      </c>
      <c r="J57" s="26">
        <f t="shared" si="4"/>
        <v>0</v>
      </c>
      <c r="K57" s="26">
        <f t="shared" si="4"/>
        <v>0</v>
      </c>
      <c r="L57" s="26">
        <f t="shared" si="4"/>
        <v>0</v>
      </c>
      <c r="M57" s="26">
        <f t="shared" si="4"/>
        <v>0</v>
      </c>
      <c r="N57" s="26">
        <f t="shared" si="4"/>
        <v>0</v>
      </c>
      <c r="O57" s="26">
        <f t="shared" si="4"/>
        <v>0</v>
      </c>
      <c r="P57" s="26">
        <f t="shared" si="4"/>
        <v>0</v>
      </c>
      <c r="Q57" s="26">
        <f t="shared" si="4"/>
        <v>0</v>
      </c>
      <c r="R57" s="26">
        <f t="shared" si="4"/>
        <v>0</v>
      </c>
      <c r="S57" s="26">
        <f t="shared" si="4"/>
        <v>0</v>
      </c>
      <c r="T57" s="26">
        <f t="shared" si="4"/>
        <v>0</v>
      </c>
      <c r="U57" s="27">
        <f t="shared" si="4"/>
        <v>0</v>
      </c>
    </row>
    <row r="58" spans="1:33" x14ac:dyDescent="0.25">
      <c r="A58" s="9" t="s">
        <v>21</v>
      </c>
      <c r="B58" s="26">
        <f t="shared" ref="B58:U58" si="5">+B30/B$35</f>
        <v>0</v>
      </c>
      <c r="C58" s="26">
        <f t="shared" si="5"/>
        <v>0</v>
      </c>
      <c r="D58" s="26">
        <f t="shared" si="5"/>
        <v>0</v>
      </c>
      <c r="E58" s="26">
        <f t="shared" si="5"/>
        <v>0</v>
      </c>
      <c r="F58" s="26">
        <f t="shared" si="5"/>
        <v>0</v>
      </c>
      <c r="G58" s="26">
        <f t="shared" si="5"/>
        <v>0</v>
      </c>
      <c r="H58" s="26">
        <f t="shared" si="5"/>
        <v>0</v>
      </c>
      <c r="I58" s="26">
        <f t="shared" si="5"/>
        <v>0</v>
      </c>
      <c r="J58" s="26">
        <f t="shared" si="5"/>
        <v>0</v>
      </c>
      <c r="K58" s="26">
        <f t="shared" si="5"/>
        <v>0</v>
      </c>
      <c r="L58" s="26">
        <f t="shared" si="5"/>
        <v>0</v>
      </c>
      <c r="M58" s="26">
        <f t="shared" si="5"/>
        <v>0</v>
      </c>
      <c r="N58" s="26">
        <f t="shared" si="5"/>
        <v>0</v>
      </c>
      <c r="O58" s="26">
        <f t="shared" si="5"/>
        <v>0</v>
      </c>
      <c r="P58" s="26">
        <f t="shared" si="5"/>
        <v>0</v>
      </c>
      <c r="Q58" s="26">
        <f t="shared" si="5"/>
        <v>0</v>
      </c>
      <c r="R58" s="26">
        <f t="shared" si="5"/>
        <v>0</v>
      </c>
      <c r="S58" s="26">
        <f t="shared" si="5"/>
        <v>0</v>
      </c>
      <c r="T58" s="26">
        <f t="shared" si="5"/>
        <v>0</v>
      </c>
      <c r="U58" s="27">
        <f t="shared" si="5"/>
        <v>0</v>
      </c>
    </row>
    <row r="59" spans="1:33" ht="16.5" thickBot="1" x14ac:dyDescent="0.3">
      <c r="A59" s="10" t="s">
        <v>22</v>
      </c>
      <c r="B59" s="28">
        <f t="shared" ref="B59:U59" si="6">+B31/B$35</f>
        <v>0</v>
      </c>
      <c r="C59" s="28">
        <f t="shared" si="6"/>
        <v>0</v>
      </c>
      <c r="D59" s="28">
        <f t="shared" si="6"/>
        <v>0</v>
      </c>
      <c r="E59" s="28">
        <f t="shared" si="6"/>
        <v>0</v>
      </c>
      <c r="F59" s="28">
        <f t="shared" si="6"/>
        <v>0</v>
      </c>
      <c r="G59" s="28">
        <f t="shared" si="6"/>
        <v>0</v>
      </c>
      <c r="H59" s="28">
        <f t="shared" si="6"/>
        <v>0</v>
      </c>
      <c r="I59" s="28">
        <f t="shared" si="6"/>
        <v>0</v>
      </c>
      <c r="J59" s="28">
        <f t="shared" si="6"/>
        <v>0</v>
      </c>
      <c r="K59" s="28">
        <f t="shared" si="6"/>
        <v>0</v>
      </c>
      <c r="L59" s="28">
        <f t="shared" si="6"/>
        <v>0</v>
      </c>
      <c r="M59" s="28">
        <f t="shared" si="6"/>
        <v>0</v>
      </c>
      <c r="N59" s="28">
        <f t="shared" si="6"/>
        <v>0</v>
      </c>
      <c r="O59" s="28">
        <f t="shared" si="6"/>
        <v>0</v>
      </c>
      <c r="P59" s="28">
        <f t="shared" si="6"/>
        <v>0</v>
      </c>
      <c r="Q59" s="28">
        <f t="shared" si="6"/>
        <v>0</v>
      </c>
      <c r="R59" s="28">
        <f t="shared" si="6"/>
        <v>0</v>
      </c>
      <c r="S59" s="28">
        <f t="shared" si="6"/>
        <v>0</v>
      </c>
      <c r="T59" s="28">
        <f t="shared" si="6"/>
        <v>0</v>
      </c>
      <c r="U59" s="29">
        <f t="shared" si="6"/>
        <v>0</v>
      </c>
    </row>
    <row r="60" spans="1:33" x14ac:dyDescent="0.25">
      <c r="B60" s="30">
        <f>1-SUM(B53:B59)</f>
        <v>0</v>
      </c>
      <c r="C60" s="30">
        <f t="shared" ref="C60:U60" si="7">1-SUM(C53:C59)</f>
        <v>0</v>
      </c>
      <c r="D60" s="30">
        <f t="shared" si="7"/>
        <v>0</v>
      </c>
      <c r="E60" s="30">
        <f t="shared" si="7"/>
        <v>-1.9984014443252818E-15</v>
      </c>
      <c r="F60" s="30">
        <f t="shared" si="7"/>
        <v>0</v>
      </c>
      <c r="G60" s="30">
        <f t="shared" si="7"/>
        <v>0</v>
      </c>
      <c r="H60" s="30">
        <f t="shared" si="7"/>
        <v>0</v>
      </c>
      <c r="I60" s="30">
        <f t="shared" si="7"/>
        <v>0</v>
      </c>
      <c r="J60" s="30">
        <f t="shared" si="7"/>
        <v>-3.5527136788005009E-15</v>
      </c>
      <c r="K60" s="30">
        <f t="shared" si="7"/>
        <v>-3.9968028886505635E-15</v>
      </c>
      <c r="L60" s="30">
        <f t="shared" si="7"/>
        <v>-2.4424906541753444E-15</v>
      </c>
      <c r="M60" s="30">
        <f t="shared" si="7"/>
        <v>-3.5527136788005009E-15</v>
      </c>
      <c r="N60" s="30">
        <f t="shared" si="7"/>
        <v>0</v>
      </c>
      <c r="O60" s="30">
        <f t="shared" si="7"/>
        <v>0</v>
      </c>
      <c r="P60" s="30">
        <f t="shared" si="7"/>
        <v>0</v>
      </c>
      <c r="Q60" s="30">
        <f t="shared" si="7"/>
        <v>0</v>
      </c>
      <c r="R60" s="30">
        <f t="shared" si="7"/>
        <v>0</v>
      </c>
      <c r="S60" s="30">
        <f t="shared" si="7"/>
        <v>0</v>
      </c>
      <c r="T60" s="30">
        <f t="shared" si="7"/>
        <v>0</v>
      </c>
      <c r="U60" s="30">
        <f t="shared" si="7"/>
        <v>0</v>
      </c>
    </row>
    <row r="62" spans="1:33" ht="16.5" thickBot="1" x14ac:dyDescent="0.3">
      <c r="A62" s="7" t="s">
        <v>43</v>
      </c>
    </row>
    <row r="63" spans="1:33" ht="16.5" thickBot="1" x14ac:dyDescent="0.3">
      <c r="A63" s="8" t="s">
        <v>8</v>
      </c>
      <c r="B63" s="5">
        <v>0</v>
      </c>
      <c r="C63" s="5">
        <v>1</v>
      </c>
      <c r="D63" s="5">
        <v>2</v>
      </c>
      <c r="E63" s="5">
        <v>3</v>
      </c>
      <c r="F63" s="5">
        <v>4</v>
      </c>
      <c r="G63" s="5">
        <v>5</v>
      </c>
      <c r="H63" s="5">
        <v>6</v>
      </c>
      <c r="I63" s="5">
        <v>7</v>
      </c>
      <c r="J63" s="5">
        <v>8</v>
      </c>
      <c r="K63" s="5">
        <v>9</v>
      </c>
      <c r="L63" s="5">
        <v>10</v>
      </c>
      <c r="M63" s="5">
        <v>11</v>
      </c>
      <c r="N63" s="5">
        <v>12</v>
      </c>
      <c r="O63" s="5">
        <v>13</v>
      </c>
      <c r="P63" s="5">
        <v>14</v>
      </c>
      <c r="Q63" s="5">
        <v>15</v>
      </c>
      <c r="R63" s="5">
        <v>16</v>
      </c>
      <c r="S63" s="5">
        <v>17</v>
      </c>
      <c r="T63" s="5">
        <v>18</v>
      </c>
      <c r="U63" s="6">
        <v>19</v>
      </c>
    </row>
    <row r="64" spans="1:33" x14ac:dyDescent="0.25">
      <c r="A64" s="9" t="s">
        <v>16</v>
      </c>
      <c r="B64" s="12">
        <f>+B53*B$43</f>
        <v>258750</v>
      </c>
      <c r="C64" s="31">
        <f t="shared" ref="C64:U64" si="8">+C53*C$43</f>
        <v>0</v>
      </c>
      <c r="D64" s="31">
        <f t="shared" si="8"/>
        <v>0</v>
      </c>
      <c r="E64" s="31">
        <f t="shared" si="8"/>
        <v>0</v>
      </c>
      <c r="F64" s="31">
        <f t="shared" si="8"/>
        <v>0</v>
      </c>
      <c r="G64" s="31">
        <f t="shared" si="8"/>
        <v>0</v>
      </c>
      <c r="H64" s="31">
        <f t="shared" si="8"/>
        <v>0</v>
      </c>
      <c r="I64" s="31">
        <f t="shared" si="8"/>
        <v>0</v>
      </c>
      <c r="J64" s="31">
        <f t="shared" si="8"/>
        <v>0</v>
      </c>
      <c r="K64" s="31">
        <f t="shared" si="8"/>
        <v>0</v>
      </c>
      <c r="L64" s="31">
        <f t="shared" si="8"/>
        <v>0</v>
      </c>
      <c r="M64" s="31">
        <f t="shared" si="8"/>
        <v>0</v>
      </c>
      <c r="N64" s="31">
        <f t="shared" si="8"/>
        <v>0</v>
      </c>
      <c r="O64" s="31">
        <f t="shared" si="8"/>
        <v>0</v>
      </c>
      <c r="P64" s="31">
        <f t="shared" si="8"/>
        <v>0</v>
      </c>
      <c r="Q64" s="31">
        <f t="shared" si="8"/>
        <v>0</v>
      </c>
      <c r="R64" s="31">
        <f t="shared" si="8"/>
        <v>0</v>
      </c>
      <c r="S64" s="31">
        <f t="shared" si="8"/>
        <v>0</v>
      </c>
      <c r="T64" s="31">
        <f t="shared" si="8"/>
        <v>0</v>
      </c>
      <c r="U64" s="32">
        <f t="shared" si="8"/>
        <v>0</v>
      </c>
      <c r="AD64" t="s">
        <v>19</v>
      </c>
      <c r="AE64" t="s">
        <v>18</v>
      </c>
      <c r="AF64" t="s">
        <v>17</v>
      </c>
      <c r="AG64" t="s">
        <v>16</v>
      </c>
    </row>
    <row r="65" spans="1:33" x14ac:dyDescent="0.25">
      <c r="A65" s="9" t="s">
        <v>17</v>
      </c>
      <c r="B65" s="31">
        <f t="shared" ref="B65:U65" si="9">+B54*B$43</f>
        <v>132515</v>
      </c>
      <c r="C65" s="31">
        <f t="shared" si="9"/>
        <v>122006.2891740898</v>
      </c>
      <c r="D65" s="31">
        <f t="shared" si="9"/>
        <v>89181.385734306954</v>
      </c>
      <c r="E65" s="31">
        <f t="shared" si="9"/>
        <v>60721.225668468971</v>
      </c>
      <c r="F65" s="31">
        <f t="shared" si="9"/>
        <v>39334.555536227774</v>
      </c>
      <c r="G65" s="31">
        <f t="shared" si="9"/>
        <v>24864.782686066694</v>
      </c>
      <c r="H65" s="31">
        <f t="shared" si="9"/>
        <v>15483.624456563864</v>
      </c>
      <c r="I65" s="31">
        <f t="shared" si="9"/>
        <v>9550.8346572994215</v>
      </c>
      <c r="J65" s="31">
        <f t="shared" si="9"/>
        <v>5856.7365366247332</v>
      </c>
      <c r="K65" s="31">
        <f t="shared" si="9"/>
        <v>3578.1626427042565</v>
      </c>
      <c r="L65" s="31">
        <f t="shared" si="9"/>
        <v>2180.9287288440637</v>
      </c>
      <c r="M65" s="31">
        <f t="shared" si="9"/>
        <v>1327.3077498554503</v>
      </c>
      <c r="N65" s="31">
        <f t="shared" si="9"/>
        <v>807.0233946334032</v>
      </c>
      <c r="O65" s="31">
        <f t="shared" si="9"/>
        <v>490.38235078131868</v>
      </c>
      <c r="P65" s="31">
        <f t="shared" si="9"/>
        <v>297.86084722801405</v>
      </c>
      <c r="Q65" s="31">
        <f t="shared" si="9"/>
        <v>180.87687736251013</v>
      </c>
      <c r="R65" s="31">
        <f t="shared" si="9"/>
        <v>109.82036036144834</v>
      </c>
      <c r="S65" s="31">
        <f t="shared" si="9"/>
        <v>66.671146782892251</v>
      </c>
      <c r="T65" s="31">
        <f t="shared" si="9"/>
        <v>40.472897397960566</v>
      </c>
      <c r="U65" s="32">
        <f t="shared" si="9"/>
        <v>24.568139612106915</v>
      </c>
      <c r="AC65" t="s">
        <v>44</v>
      </c>
      <c r="AD65">
        <v>75000</v>
      </c>
      <c r="AE65">
        <v>154635</v>
      </c>
      <c r="AF65">
        <v>132515</v>
      </c>
      <c r="AG65">
        <v>258750</v>
      </c>
    </row>
    <row r="66" spans="1:33" x14ac:dyDescent="0.25">
      <c r="A66" s="9" t="s">
        <v>18</v>
      </c>
      <c r="B66" s="31">
        <f t="shared" ref="B66:U66" si="10">+B55*B$43</f>
        <v>154635</v>
      </c>
      <c r="C66" s="31">
        <f t="shared" si="10"/>
        <v>113917.48720214628</v>
      </c>
      <c r="D66" s="31">
        <f t="shared" si="10"/>
        <v>73469.008261959505</v>
      </c>
      <c r="E66" s="31">
        <f t="shared" si="10"/>
        <v>45083.91766975369</v>
      </c>
      <c r="F66" s="31">
        <f t="shared" si="10"/>
        <v>26678.66933976713</v>
      </c>
      <c r="G66" s="31">
        <f t="shared" si="10"/>
        <v>15995.750196337613</v>
      </c>
      <c r="H66" s="31">
        <f t="shared" si="10"/>
        <v>9631.7656287658738</v>
      </c>
      <c r="I66" s="31">
        <f t="shared" si="10"/>
        <v>5811.9816461992132</v>
      </c>
      <c r="J66" s="31">
        <f t="shared" si="10"/>
        <v>3514.2802690665694</v>
      </c>
      <c r="K66" s="31">
        <f t="shared" si="10"/>
        <v>2127.8269652009712</v>
      </c>
      <c r="L66" s="31">
        <f t="shared" si="10"/>
        <v>1289.4733594022759</v>
      </c>
      <c r="M66" s="31">
        <f t="shared" si="10"/>
        <v>781.87390436098087</v>
      </c>
      <c r="N66" s="31">
        <f t="shared" si="10"/>
        <v>474.26598508983824</v>
      </c>
      <c r="O66" s="31">
        <f t="shared" si="10"/>
        <v>287.7470013583856</v>
      </c>
      <c r="P66" s="31">
        <f t="shared" si="10"/>
        <v>174.60887144310743</v>
      </c>
      <c r="Q66" s="31">
        <f t="shared" si="10"/>
        <v>105.96553901666493</v>
      </c>
      <c r="R66" s="31">
        <f t="shared" si="10"/>
        <v>64.311776344392896</v>
      </c>
      <c r="S66" s="31">
        <f t="shared" si="10"/>
        <v>39.03318701200125</v>
      </c>
      <c r="T66" s="31">
        <f t="shared" si="10"/>
        <v>23.691297457164211</v>
      </c>
      <c r="U66" s="32">
        <f t="shared" si="10"/>
        <v>14.379737040687887</v>
      </c>
      <c r="AC66" t="s">
        <v>45</v>
      </c>
      <c r="AD66">
        <v>48372.956129828177</v>
      </c>
      <c r="AE66">
        <v>113917.48720214628</v>
      </c>
      <c r="AF66">
        <v>122006.2891740898</v>
      </c>
      <c r="AG66">
        <v>0</v>
      </c>
    </row>
    <row r="67" spans="1:33" x14ac:dyDescent="0.25">
      <c r="A67" s="9" t="s">
        <v>19</v>
      </c>
      <c r="B67" s="31">
        <f t="shared" ref="B67:U67" si="11">+B56*B$43</f>
        <v>75000</v>
      </c>
      <c r="C67" s="31">
        <f t="shared" si="11"/>
        <v>48372.956129828177</v>
      </c>
      <c r="D67" s="31">
        <f t="shared" si="11"/>
        <v>28494.972558604528</v>
      </c>
      <c r="E67" s="31">
        <f t="shared" si="11"/>
        <v>16423.262581558593</v>
      </c>
      <c r="F67" s="31">
        <f t="shared" si="11"/>
        <v>9160.2124916558732</v>
      </c>
      <c r="G67" s="31">
        <f t="shared" si="11"/>
        <v>5329.276913691243</v>
      </c>
      <c r="H67" s="31">
        <f t="shared" si="11"/>
        <v>3150.4036800631716</v>
      </c>
      <c r="I67" s="31">
        <f t="shared" si="11"/>
        <v>1877.8932042445745</v>
      </c>
      <c r="J67" s="31">
        <f t="shared" si="11"/>
        <v>1126.7394136148362</v>
      </c>
      <c r="K67" s="31">
        <f t="shared" si="11"/>
        <v>678.85999958251784</v>
      </c>
      <c r="L67" s="31">
        <f t="shared" si="11"/>
        <v>410.08857577990011</v>
      </c>
      <c r="M67" s="31">
        <f t="shared" si="11"/>
        <v>248.15177761884735</v>
      </c>
      <c r="N67" s="31">
        <f t="shared" si="11"/>
        <v>150.32633817793854</v>
      </c>
      <c r="O67" s="31">
        <f t="shared" si="11"/>
        <v>91.129631272005042</v>
      </c>
      <c r="P67" s="31">
        <f t="shared" si="11"/>
        <v>55.268967336045193</v>
      </c>
      <c r="Q67" s="31">
        <f t="shared" si="11"/>
        <v>33.52970417763742</v>
      </c>
      <c r="R67" s="31">
        <f t="shared" si="11"/>
        <v>20.345078246059547</v>
      </c>
      <c r="S67" s="31">
        <f t="shared" si="11"/>
        <v>12.346423111096312</v>
      </c>
      <c r="T67" s="31">
        <f t="shared" si="11"/>
        <v>7.4930115879092796</v>
      </c>
      <c r="U67" s="32">
        <f t="shared" si="11"/>
        <v>4.5477136748629983</v>
      </c>
      <c r="AC67" t="s">
        <v>46</v>
      </c>
      <c r="AD67">
        <v>28494.972558604528</v>
      </c>
      <c r="AE67">
        <v>73469.008261959505</v>
      </c>
      <c r="AF67">
        <v>89181.385734306954</v>
      </c>
      <c r="AG67">
        <v>0</v>
      </c>
    </row>
    <row r="68" spans="1:33" x14ac:dyDescent="0.25">
      <c r="A68" s="9" t="s">
        <v>20</v>
      </c>
      <c r="B68" s="31">
        <f t="shared" ref="B68:U68" si="12">+B57*B$43</f>
        <v>0</v>
      </c>
      <c r="C68" s="31">
        <f t="shared" si="12"/>
        <v>0</v>
      </c>
      <c r="D68" s="31">
        <f t="shared" si="12"/>
        <v>0</v>
      </c>
      <c r="E68" s="31">
        <f t="shared" si="12"/>
        <v>0</v>
      </c>
      <c r="F68" s="31">
        <f t="shared" si="12"/>
        <v>0</v>
      </c>
      <c r="G68" s="31">
        <f t="shared" si="12"/>
        <v>0</v>
      </c>
      <c r="H68" s="31">
        <f t="shared" si="12"/>
        <v>0</v>
      </c>
      <c r="I68" s="31">
        <f t="shared" si="12"/>
        <v>0</v>
      </c>
      <c r="J68" s="31">
        <f t="shared" si="12"/>
        <v>0</v>
      </c>
      <c r="K68" s="31">
        <f t="shared" si="12"/>
        <v>0</v>
      </c>
      <c r="L68" s="31">
        <f t="shared" si="12"/>
        <v>0</v>
      </c>
      <c r="M68" s="31">
        <f t="shared" si="12"/>
        <v>0</v>
      </c>
      <c r="N68" s="31">
        <f t="shared" si="12"/>
        <v>0</v>
      </c>
      <c r="O68" s="31">
        <f t="shared" si="12"/>
        <v>0</v>
      </c>
      <c r="P68" s="31">
        <f t="shared" si="12"/>
        <v>0</v>
      </c>
      <c r="Q68" s="31">
        <f t="shared" si="12"/>
        <v>0</v>
      </c>
      <c r="R68" s="31">
        <f t="shared" si="12"/>
        <v>0</v>
      </c>
      <c r="S68" s="31">
        <f t="shared" si="12"/>
        <v>0</v>
      </c>
      <c r="T68" s="31">
        <f t="shared" si="12"/>
        <v>0</v>
      </c>
      <c r="U68" s="32">
        <f t="shared" si="12"/>
        <v>0</v>
      </c>
      <c r="AC68" t="s">
        <v>47</v>
      </c>
      <c r="AD68">
        <v>16423.262581558593</v>
      </c>
      <c r="AE68">
        <v>45083.91766975369</v>
      </c>
      <c r="AF68">
        <v>60721.225668468971</v>
      </c>
      <c r="AG68">
        <v>0</v>
      </c>
    </row>
    <row r="69" spans="1:33" x14ac:dyDescent="0.25">
      <c r="A69" s="9" t="s">
        <v>21</v>
      </c>
      <c r="B69" s="31">
        <f t="shared" ref="B69:U69" si="13">+B58*B$43</f>
        <v>0</v>
      </c>
      <c r="C69" s="31">
        <f t="shared" si="13"/>
        <v>0</v>
      </c>
      <c r="D69" s="31">
        <f t="shared" si="13"/>
        <v>0</v>
      </c>
      <c r="E69" s="31">
        <f t="shared" si="13"/>
        <v>0</v>
      </c>
      <c r="F69" s="31">
        <f t="shared" si="13"/>
        <v>0</v>
      </c>
      <c r="G69" s="31">
        <f t="shared" si="13"/>
        <v>0</v>
      </c>
      <c r="H69" s="31">
        <f t="shared" si="13"/>
        <v>0</v>
      </c>
      <c r="I69" s="31">
        <f t="shared" si="13"/>
        <v>0</v>
      </c>
      <c r="J69" s="31">
        <f t="shared" si="13"/>
        <v>0</v>
      </c>
      <c r="K69" s="31">
        <f t="shared" si="13"/>
        <v>0</v>
      </c>
      <c r="L69" s="31">
        <f t="shared" si="13"/>
        <v>0</v>
      </c>
      <c r="M69" s="31">
        <f t="shared" si="13"/>
        <v>0</v>
      </c>
      <c r="N69" s="31">
        <f t="shared" si="13"/>
        <v>0</v>
      </c>
      <c r="O69" s="31">
        <f t="shared" si="13"/>
        <v>0</v>
      </c>
      <c r="P69" s="31">
        <f t="shared" si="13"/>
        <v>0</v>
      </c>
      <c r="Q69" s="31">
        <f t="shared" si="13"/>
        <v>0</v>
      </c>
      <c r="R69" s="31">
        <f t="shared" si="13"/>
        <v>0</v>
      </c>
      <c r="S69" s="31">
        <f t="shared" si="13"/>
        <v>0</v>
      </c>
      <c r="T69" s="31">
        <f t="shared" si="13"/>
        <v>0</v>
      </c>
      <c r="U69" s="32">
        <f t="shared" si="13"/>
        <v>0</v>
      </c>
    </row>
    <row r="70" spans="1:33" ht="16.5" thickBot="1" x14ac:dyDescent="0.3">
      <c r="A70" s="10" t="s">
        <v>22</v>
      </c>
      <c r="B70" s="33">
        <f t="shared" ref="B70:U70" si="14">+B59*B$43</f>
        <v>0</v>
      </c>
      <c r="C70" s="33">
        <f t="shared" si="14"/>
        <v>0</v>
      </c>
      <c r="D70" s="33">
        <f t="shared" si="14"/>
        <v>0</v>
      </c>
      <c r="E70" s="33">
        <f t="shared" si="14"/>
        <v>0</v>
      </c>
      <c r="F70" s="33">
        <f t="shared" si="14"/>
        <v>0</v>
      </c>
      <c r="G70" s="33">
        <f t="shared" si="14"/>
        <v>0</v>
      </c>
      <c r="H70" s="33">
        <f t="shared" si="14"/>
        <v>0</v>
      </c>
      <c r="I70" s="33">
        <f t="shared" si="14"/>
        <v>0</v>
      </c>
      <c r="J70" s="33">
        <f t="shared" si="14"/>
        <v>0</v>
      </c>
      <c r="K70" s="33">
        <f t="shared" si="14"/>
        <v>0</v>
      </c>
      <c r="L70" s="33">
        <f t="shared" si="14"/>
        <v>0</v>
      </c>
      <c r="M70" s="33">
        <f t="shared" si="14"/>
        <v>0</v>
      </c>
      <c r="N70" s="33">
        <f t="shared" si="14"/>
        <v>0</v>
      </c>
      <c r="O70" s="33">
        <f t="shared" si="14"/>
        <v>0</v>
      </c>
      <c r="P70" s="33">
        <f t="shared" si="14"/>
        <v>0</v>
      </c>
      <c r="Q70" s="33">
        <f t="shared" si="14"/>
        <v>0</v>
      </c>
      <c r="R70" s="33">
        <f t="shared" si="14"/>
        <v>0</v>
      </c>
      <c r="S70" s="33">
        <f t="shared" si="14"/>
        <v>0</v>
      </c>
      <c r="T70" s="33">
        <f t="shared" si="14"/>
        <v>0</v>
      </c>
      <c r="U70" s="34">
        <f t="shared" si="14"/>
        <v>0</v>
      </c>
    </row>
    <row r="72" spans="1:33" x14ac:dyDescent="0.25">
      <c r="A72"/>
    </row>
    <row r="73" spans="1:33" x14ac:dyDescent="0.25">
      <c r="A73"/>
    </row>
    <row r="74" spans="1:33" x14ac:dyDescent="0.25">
      <c r="A74"/>
    </row>
    <row r="75" spans="1:33" x14ac:dyDescent="0.25">
      <c r="A75"/>
    </row>
    <row r="76" spans="1:33" x14ac:dyDescent="0.25">
      <c r="A76"/>
    </row>
    <row r="77" spans="1:33" x14ac:dyDescent="0.25">
      <c r="A77"/>
    </row>
    <row r="78" spans="1:33" x14ac:dyDescent="0.25">
      <c r="A78"/>
    </row>
    <row r="79" spans="1:33" x14ac:dyDescent="0.25">
      <c r="A79"/>
    </row>
    <row r="80" spans="1:33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</sheetData>
  <conditionalFormatting sqref="B3:H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J85"/>
  <sheetViews>
    <sheetView showGridLines="0" tabSelected="1" topLeftCell="A20" zoomScale="40" zoomScaleNormal="40" zoomScalePageLayoutView="50" workbookViewId="0">
      <selection activeCell="AB16" sqref="AB16"/>
    </sheetView>
  </sheetViews>
  <sheetFormatPr defaultColWidth="11" defaultRowHeight="15.75" x14ac:dyDescent="0.25"/>
  <cols>
    <col min="1" max="1" width="27.625" style="1" bestFit="1" customWidth="1"/>
  </cols>
  <sheetData>
    <row r="1" spans="1:36" x14ac:dyDescent="0.25">
      <c r="A1" s="7" t="s">
        <v>41</v>
      </c>
    </row>
    <row r="2" spans="1:36" x14ac:dyDescent="0.25">
      <c r="B2" s="1" t="s">
        <v>25</v>
      </c>
      <c r="C2" s="25" t="s">
        <v>26</v>
      </c>
      <c r="D2" s="25" t="s">
        <v>27</v>
      </c>
      <c r="E2" s="25" t="s">
        <v>28</v>
      </c>
      <c r="F2" s="25" t="s">
        <v>29</v>
      </c>
      <c r="G2" s="25" t="s">
        <v>30</v>
      </c>
      <c r="H2" s="25" t="s">
        <v>31</v>
      </c>
    </row>
    <row r="3" spans="1:36" x14ac:dyDescent="0.25">
      <c r="A3" s="1" t="s">
        <v>25</v>
      </c>
      <c r="B3" s="22">
        <v>0</v>
      </c>
      <c r="C3" s="22">
        <v>0.41574803149606299</v>
      </c>
      <c r="D3" s="22">
        <v>0.37244094488189</v>
      </c>
      <c r="E3" s="22">
        <v>3.1496062992125998E-2</v>
      </c>
      <c r="F3" s="22">
        <v>4.6456692913385798E-2</v>
      </c>
      <c r="G3" s="22">
        <v>0</v>
      </c>
      <c r="H3" s="22">
        <v>0</v>
      </c>
    </row>
    <row r="4" spans="1:36" x14ac:dyDescent="0.25">
      <c r="A4" s="1" t="s">
        <v>26</v>
      </c>
      <c r="B4" s="22">
        <v>0</v>
      </c>
      <c r="C4" s="22">
        <v>0.79879610655737698</v>
      </c>
      <c r="D4" s="22">
        <v>2.4846311475409801E-2</v>
      </c>
      <c r="E4" s="22">
        <v>1.1398565573770499E-2</v>
      </c>
      <c r="F4" s="22">
        <v>2.0747950819672099E-2</v>
      </c>
      <c r="G4" s="22">
        <v>0</v>
      </c>
      <c r="H4" s="22">
        <v>0</v>
      </c>
    </row>
    <row r="5" spans="1:36" x14ac:dyDescent="0.25">
      <c r="A5" s="1" t="s">
        <v>27</v>
      </c>
      <c r="B5" s="22">
        <v>0</v>
      </c>
      <c r="C5" s="22">
        <v>4.23084822345451E-2</v>
      </c>
      <c r="D5" s="22">
        <v>0.75765044156911099</v>
      </c>
      <c r="E5" s="22">
        <v>3.0601766276442802E-2</v>
      </c>
      <c r="F5" s="22">
        <v>5.3193674265762998E-2</v>
      </c>
      <c r="G5" s="22">
        <v>0</v>
      </c>
      <c r="H5" s="22">
        <v>0</v>
      </c>
    </row>
    <row r="6" spans="1:36" x14ac:dyDescent="0.25">
      <c r="A6" s="1" t="s">
        <v>28</v>
      </c>
      <c r="B6" s="22">
        <v>0</v>
      </c>
      <c r="C6" s="22">
        <v>7.7170418006430902E-2</v>
      </c>
      <c r="D6" s="22">
        <v>0.14790996784565899</v>
      </c>
      <c r="E6" s="22">
        <v>0.23472668810289399</v>
      </c>
      <c r="F6" s="22">
        <v>0.41639871382636701</v>
      </c>
      <c r="G6" s="22">
        <v>0</v>
      </c>
      <c r="H6" s="22">
        <v>0</v>
      </c>
    </row>
    <row r="7" spans="1:36" x14ac:dyDescent="0.25">
      <c r="A7" s="1" t="s">
        <v>29</v>
      </c>
      <c r="B7" s="22">
        <v>0</v>
      </c>
      <c r="C7" s="22">
        <v>1.57728706624606E-3</v>
      </c>
      <c r="D7" s="22">
        <v>4.7318611987381704E-3</v>
      </c>
      <c r="E7" s="22">
        <v>1.57728706624606E-3</v>
      </c>
      <c r="F7" s="22">
        <v>0</v>
      </c>
      <c r="G7" s="22">
        <v>0.94164037854889604</v>
      </c>
      <c r="H7" s="22">
        <v>0</v>
      </c>
    </row>
    <row r="8" spans="1:36" x14ac:dyDescent="0.25">
      <c r="A8" s="1" t="s">
        <v>30</v>
      </c>
      <c r="B8" s="22">
        <v>0</v>
      </c>
      <c r="C8" s="22">
        <v>0</v>
      </c>
      <c r="D8" s="22">
        <v>4.0733197556008099E-3</v>
      </c>
      <c r="E8" s="22">
        <v>2.0366598778004102E-3</v>
      </c>
      <c r="F8" s="22">
        <v>0</v>
      </c>
      <c r="G8" s="22">
        <v>0</v>
      </c>
      <c r="H8" s="22">
        <v>0.96537678207739297</v>
      </c>
    </row>
    <row r="9" spans="1:36" x14ac:dyDescent="0.25">
      <c r="A9" s="1" t="s">
        <v>31</v>
      </c>
      <c r="B9" s="22">
        <v>0</v>
      </c>
      <c r="C9" s="22">
        <v>1.10071546505228E-3</v>
      </c>
      <c r="D9" s="22">
        <v>1.10071546505228E-3</v>
      </c>
      <c r="E9" s="22">
        <v>0</v>
      </c>
      <c r="F9" s="22">
        <v>0</v>
      </c>
      <c r="G9" s="22">
        <v>0</v>
      </c>
      <c r="H9" s="22">
        <v>0.98569069895432004</v>
      </c>
    </row>
    <row r="12" spans="1:36" ht="16.5" thickBot="1" x14ac:dyDescent="0.3">
      <c r="A12" s="7" t="s">
        <v>32</v>
      </c>
    </row>
    <row r="13" spans="1:36" ht="16.5" thickBot="1" x14ac:dyDescent="0.3">
      <c r="A13" s="8" t="s">
        <v>8</v>
      </c>
      <c r="B13" s="5">
        <v>0</v>
      </c>
      <c r="C13" s="5">
        <v>1</v>
      </c>
      <c r="D13" s="5">
        <v>2</v>
      </c>
      <c r="E13" s="5">
        <v>3</v>
      </c>
      <c r="F13" s="5">
        <v>4</v>
      </c>
      <c r="G13" s="5">
        <v>5</v>
      </c>
      <c r="H13" s="5">
        <v>6</v>
      </c>
      <c r="I13" s="5">
        <v>7</v>
      </c>
      <c r="J13" s="5">
        <v>8</v>
      </c>
      <c r="K13" s="5">
        <v>9</v>
      </c>
      <c r="L13" s="5">
        <v>10</v>
      </c>
      <c r="M13" s="5">
        <v>11</v>
      </c>
      <c r="N13" s="5">
        <v>12</v>
      </c>
      <c r="O13" s="5">
        <v>13</v>
      </c>
      <c r="P13" s="5">
        <v>14</v>
      </c>
      <c r="Q13" s="5">
        <v>15</v>
      </c>
      <c r="R13" s="5">
        <v>16</v>
      </c>
      <c r="S13" s="5">
        <v>17</v>
      </c>
      <c r="T13" s="5">
        <v>18</v>
      </c>
      <c r="U13" s="6">
        <v>19</v>
      </c>
      <c r="AD13" t="s">
        <v>31</v>
      </c>
      <c r="AE13" t="s">
        <v>30</v>
      </c>
      <c r="AF13" t="s">
        <v>29</v>
      </c>
      <c r="AG13" t="s">
        <v>28</v>
      </c>
      <c r="AH13" t="s">
        <v>27</v>
      </c>
      <c r="AI13" t="s">
        <v>26</v>
      </c>
      <c r="AJ13" t="s">
        <v>25</v>
      </c>
    </row>
    <row r="14" spans="1:36" x14ac:dyDescent="0.25">
      <c r="A14" s="9" t="s">
        <v>25</v>
      </c>
      <c r="B14" s="12">
        <v>956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3">
        <v>0</v>
      </c>
      <c r="AC14" t="s">
        <v>44</v>
      </c>
      <c r="AD14" s="35">
        <v>2265</v>
      </c>
      <c r="AE14" s="35">
        <v>597</v>
      </c>
      <c r="AF14" s="35">
        <v>739</v>
      </c>
      <c r="AG14" s="35">
        <v>635</v>
      </c>
      <c r="AH14" s="35">
        <v>5487</v>
      </c>
      <c r="AI14" s="35">
        <v>8986</v>
      </c>
      <c r="AJ14" s="35">
        <v>956</v>
      </c>
    </row>
    <row r="15" spans="1:36" x14ac:dyDescent="0.25">
      <c r="A15" s="9" t="s">
        <v>26</v>
      </c>
      <c r="B15" s="12">
        <v>8986</v>
      </c>
      <c r="C15" s="12">
        <v>7860.2455247601602</v>
      </c>
      <c r="D15" s="12">
        <v>6522.7008370198701</v>
      </c>
      <c r="E15" s="12">
        <v>5408.4783405479602</v>
      </c>
      <c r="F15" s="12">
        <v>4482.8708743712205</v>
      </c>
      <c r="G15" s="12">
        <v>3714.9333182748501</v>
      </c>
      <c r="H15" s="12">
        <v>3078.4170739426299</v>
      </c>
      <c r="I15" s="12">
        <v>2551.2545892758199</v>
      </c>
      <c r="J15" s="12">
        <v>2114.96487652108</v>
      </c>
      <c r="K15" s="12">
        <v>1754.10789310266</v>
      </c>
      <c r="L15" s="12">
        <v>1455.8075471315401</v>
      </c>
      <c r="M15" s="12">
        <v>1209.3421252696601</v>
      </c>
      <c r="N15" s="12">
        <v>1005.79549087545</v>
      </c>
      <c r="O15" s="12">
        <v>837.76153314602595</v>
      </c>
      <c r="P15" s="12">
        <v>699.09468303444601</v>
      </c>
      <c r="Q15" s="12">
        <v>584.69996730392302</v>
      </c>
      <c r="R15" s="12">
        <v>490.35679965381502</v>
      </c>
      <c r="S15" s="12">
        <v>412.57142381854698</v>
      </c>
      <c r="T15" s="12">
        <v>348.453594450011</v>
      </c>
      <c r="U15" s="13">
        <v>295.61369314234901</v>
      </c>
      <c r="AC15" t="s">
        <v>45</v>
      </c>
      <c r="AD15" s="35">
        <v>2841.3299389002</v>
      </c>
      <c r="AE15" s="35">
        <v>695.87223974763401</v>
      </c>
      <c r="AF15" s="35">
        <v>787.14055846675501</v>
      </c>
      <c r="AG15" s="35">
        <v>451.88258605955599</v>
      </c>
      <c r="AH15" s="35">
        <v>4838.8950385451299</v>
      </c>
      <c r="AI15" s="35">
        <v>7860.2455247601602</v>
      </c>
      <c r="AJ15" s="35">
        <v>0</v>
      </c>
    </row>
    <row r="16" spans="1:36" x14ac:dyDescent="0.25">
      <c r="A16" s="9" t="s">
        <v>27</v>
      </c>
      <c r="B16" s="12">
        <v>5487</v>
      </c>
      <c r="C16" s="12">
        <v>4838.8950385451299</v>
      </c>
      <c r="D16" s="12">
        <v>3938.01365582893</v>
      </c>
      <c r="E16" s="12">
        <v>3206.7052646306602</v>
      </c>
      <c r="F16" s="12">
        <v>2614.4590667800999</v>
      </c>
      <c r="G16" s="12">
        <v>2134.8490321693398</v>
      </c>
      <c r="H16" s="12">
        <v>1746.10886997794</v>
      </c>
      <c r="I16" s="12">
        <v>1430.6734743371801</v>
      </c>
      <c r="J16" s="12">
        <v>1174.43624017416</v>
      </c>
      <c r="K16" s="12">
        <v>966.068799418033</v>
      </c>
      <c r="L16" s="12">
        <v>796.46255713641904</v>
      </c>
      <c r="M16" s="12">
        <v>658.28228663776599</v>
      </c>
      <c r="N16" s="12">
        <v>545.611479927304</v>
      </c>
      <c r="O16" s="12">
        <v>453.67065411607001</v>
      </c>
      <c r="P16" s="12">
        <v>378.59326577998797</v>
      </c>
      <c r="Q16" s="12">
        <v>317.24709748965103</v>
      </c>
      <c r="R16" s="12">
        <v>267.09159415993798</v>
      </c>
      <c r="S16" s="12">
        <v>226.063681770329</v>
      </c>
      <c r="T16" s="12">
        <v>192.48620322018601</v>
      </c>
      <c r="U16" s="13">
        <v>164.99435429592199</v>
      </c>
      <c r="AC16" t="s">
        <v>46</v>
      </c>
      <c r="AD16" s="35">
        <v>3513.1088424447598</v>
      </c>
      <c r="AE16" s="35">
        <v>741.203333445824</v>
      </c>
      <c r="AF16" s="35">
        <v>608.64592170058904</v>
      </c>
      <c r="AG16" s="35">
        <v>346.40196357579799</v>
      </c>
      <c r="AH16" s="35">
        <v>3938.01365582893</v>
      </c>
      <c r="AI16" s="35">
        <v>6522.7008370198701</v>
      </c>
      <c r="AJ16" s="35">
        <v>0</v>
      </c>
    </row>
    <row r="17" spans="1:36" x14ac:dyDescent="0.25">
      <c r="A17" s="9" t="s">
        <v>28</v>
      </c>
      <c r="B17" s="12">
        <v>635</v>
      </c>
      <c r="C17" s="12">
        <v>451.88258605955599</v>
      </c>
      <c r="D17" s="12">
        <v>346.40196357579799</v>
      </c>
      <c r="E17" s="12">
        <v>278.63898079120497</v>
      </c>
      <c r="F17" s="12">
        <v>227.122381533724</v>
      </c>
      <c r="G17" s="12">
        <v>185.98399834985401</v>
      </c>
      <c r="H17" s="12">
        <v>152.61055141187899</v>
      </c>
      <c r="I17" s="12">
        <v>125.394627039013</v>
      </c>
      <c r="J17" s="12">
        <v>103.156845749422</v>
      </c>
      <c r="K17" s="12">
        <v>84.969428474329206</v>
      </c>
      <c r="L17" s="12">
        <v>70.085421723169205</v>
      </c>
      <c r="M17" s="12">
        <v>57.898806139453797</v>
      </c>
      <c r="N17" s="12">
        <v>47.9164626493817</v>
      </c>
      <c r="O17" s="12">
        <v>39.736553897885798</v>
      </c>
      <c r="P17" s="12">
        <v>33.031307341851701</v>
      </c>
      <c r="Q17" s="12">
        <v>27.533152854757201</v>
      </c>
      <c r="R17" s="12">
        <v>23.023513847869701</v>
      </c>
      <c r="S17" s="12">
        <v>19.3237244619961</v>
      </c>
      <c r="T17" s="12">
        <v>16.287658760956401</v>
      </c>
      <c r="U17" s="13">
        <v>13.795742030372899</v>
      </c>
      <c r="AC17" t="s">
        <v>47</v>
      </c>
      <c r="AD17" s="35">
        <v>4228.6493313517303</v>
      </c>
      <c r="AE17" s="35">
        <v>573.12557611238503</v>
      </c>
      <c r="AF17" s="35">
        <v>489.05142394010301</v>
      </c>
      <c r="AG17" s="35">
        <v>278.63898079120497</v>
      </c>
      <c r="AH17" s="35">
        <v>3206.7052646306602</v>
      </c>
      <c r="AI17" s="35">
        <v>5408.4783405479602</v>
      </c>
      <c r="AJ17" s="35">
        <v>0</v>
      </c>
    </row>
    <row r="18" spans="1:36" x14ac:dyDescent="0.25">
      <c r="A18" s="9" t="s">
        <v>29</v>
      </c>
      <c r="B18" s="12">
        <v>739</v>
      </c>
      <c r="C18" s="12">
        <v>787.14055846675501</v>
      </c>
      <c r="D18" s="12">
        <v>608.64592170058904</v>
      </c>
      <c r="E18" s="12">
        <v>489.05142394010301</v>
      </c>
      <c r="F18" s="12">
        <v>398.81619115536898</v>
      </c>
      <c r="G18" s="12">
        <v>326.65653596368998</v>
      </c>
      <c r="H18" s="12">
        <v>268.08121551488802</v>
      </c>
      <c r="I18" s="12">
        <v>220.299629839006</v>
      </c>
      <c r="J18" s="12">
        <v>181.250244941099</v>
      </c>
      <c r="K18" s="12">
        <v>149.308143941569</v>
      </c>
      <c r="L18" s="12">
        <v>123.16405406432401</v>
      </c>
      <c r="M18" s="12">
        <v>101.75527268349001</v>
      </c>
      <c r="N18" s="12">
        <v>84.216812878134405</v>
      </c>
      <c r="O18" s="12">
        <v>69.8436281365573</v>
      </c>
      <c r="P18" s="12">
        <v>58.060494022284502</v>
      </c>
      <c r="Q18" s="12">
        <v>48.397742854155503</v>
      </c>
      <c r="R18" s="12">
        <v>40.471634367814602</v>
      </c>
      <c r="S18" s="12">
        <v>33.968443576192797</v>
      </c>
      <c r="T18" s="12">
        <v>28.631543474709598</v>
      </c>
      <c r="U18" s="13">
        <v>24.250906594639801</v>
      </c>
    </row>
    <row r="19" spans="1:36" x14ac:dyDescent="0.25">
      <c r="A19" s="9" t="s">
        <v>30</v>
      </c>
      <c r="B19" s="12">
        <v>597</v>
      </c>
      <c r="C19" s="12">
        <v>695.87223974763401</v>
      </c>
      <c r="D19" s="12">
        <v>741.203333445824</v>
      </c>
      <c r="E19" s="12">
        <v>573.12557611238503</v>
      </c>
      <c r="F19" s="12">
        <v>460.51056796883603</v>
      </c>
      <c r="G19" s="12">
        <v>375.54142921097002</v>
      </c>
      <c r="H19" s="12">
        <v>307.59298418032</v>
      </c>
      <c r="I19" s="12">
        <v>252.43609725928701</v>
      </c>
      <c r="J19" s="12">
        <v>207.443026835783</v>
      </c>
      <c r="K19" s="12">
        <v>170.67254925841701</v>
      </c>
      <c r="L19" s="12">
        <v>140.59457718157199</v>
      </c>
      <c r="M19" s="12">
        <v>115.97624649274699</v>
      </c>
      <c r="N19" s="12">
        <v>95.816873489027898</v>
      </c>
      <c r="O19" s="12">
        <v>79.301951558748002</v>
      </c>
      <c r="P19" s="12">
        <v>65.7675804377362</v>
      </c>
      <c r="Q19" s="12">
        <v>54.672105569879797</v>
      </c>
      <c r="R19" s="12">
        <v>45.573268902099102</v>
      </c>
      <c r="S19" s="12">
        <v>38.109725106601402</v>
      </c>
      <c r="T19" s="12">
        <v>31.986058067803</v>
      </c>
      <c r="U19" s="13">
        <v>26.9606174359647</v>
      </c>
    </row>
    <row r="20" spans="1:36" ht="16.5" thickBot="1" x14ac:dyDescent="0.3">
      <c r="A20" s="10" t="s">
        <v>31</v>
      </c>
      <c r="B20" s="14">
        <v>2265</v>
      </c>
      <c r="C20" s="14">
        <v>2841.3299389002</v>
      </c>
      <c r="D20" s="14">
        <v>3513.1088424447598</v>
      </c>
      <c r="E20" s="14">
        <v>4228.6493313517303</v>
      </c>
      <c r="F20" s="14">
        <v>4781.9314557453599</v>
      </c>
      <c r="G20" s="14">
        <v>5226.4976659637396</v>
      </c>
      <c r="H20" s="14">
        <v>5589.0366424321701</v>
      </c>
      <c r="I20" s="14">
        <v>5885.9797676897497</v>
      </c>
      <c r="J20" s="14">
        <v>6129.6757149421001</v>
      </c>
      <c r="K20" s="14">
        <v>6329.9363966532201</v>
      </c>
      <c r="L20" s="14">
        <v>6494.6997130452601</v>
      </c>
      <c r="M20" s="14">
        <v>6630.4264535423399</v>
      </c>
      <c r="N20" s="14">
        <v>6742.3872291789203</v>
      </c>
      <c r="O20" s="14">
        <v>6834.8866141764702</v>
      </c>
      <c r="P20" s="14">
        <v>6911.44287698472</v>
      </c>
      <c r="Q20" s="14">
        <v>6974.93337215271</v>
      </c>
      <c r="R20" s="14">
        <v>7027.7125534971601</v>
      </c>
      <c r="S20" s="14">
        <v>7071.7079291786204</v>
      </c>
      <c r="T20" s="14">
        <v>7108.4981729678802</v>
      </c>
      <c r="U20" s="15">
        <v>7139.3767707767202</v>
      </c>
    </row>
    <row r="22" spans="1:36" ht="16.5" thickBot="1" x14ac:dyDescent="0.3">
      <c r="A22" s="7" t="s">
        <v>11</v>
      </c>
    </row>
    <row r="23" spans="1:36" s="1" customFormat="1" ht="16.5" thickBot="1" x14ac:dyDescent="0.3">
      <c r="A23" s="8" t="s">
        <v>8</v>
      </c>
      <c r="B23" s="5">
        <v>0</v>
      </c>
      <c r="C23" s="5">
        <v>1</v>
      </c>
      <c r="D23" s="5">
        <v>2</v>
      </c>
      <c r="E23" s="5">
        <v>3</v>
      </c>
      <c r="F23" s="5">
        <v>4</v>
      </c>
      <c r="G23" s="5">
        <v>5</v>
      </c>
      <c r="H23" s="5">
        <v>6</v>
      </c>
      <c r="I23" s="5">
        <v>7</v>
      </c>
      <c r="J23" s="5">
        <v>8</v>
      </c>
      <c r="K23" s="5">
        <v>9</v>
      </c>
      <c r="L23" s="5">
        <v>10</v>
      </c>
      <c r="M23" s="5">
        <v>11</v>
      </c>
      <c r="N23" s="5">
        <v>12</v>
      </c>
      <c r="O23" s="5">
        <v>13</v>
      </c>
      <c r="P23" s="5">
        <v>14</v>
      </c>
      <c r="Q23" s="5">
        <v>15</v>
      </c>
      <c r="R23" s="5">
        <v>16</v>
      </c>
      <c r="S23" s="5">
        <v>17</v>
      </c>
      <c r="T23" s="5">
        <v>18</v>
      </c>
      <c r="U23" s="6">
        <v>19</v>
      </c>
    </row>
    <row r="24" spans="1:36" x14ac:dyDescent="0.25">
      <c r="A24" s="9" t="s">
        <v>25</v>
      </c>
      <c r="B24" s="12">
        <v>9560</v>
      </c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3">
        <v>0</v>
      </c>
    </row>
    <row r="25" spans="1:36" x14ac:dyDescent="0.25">
      <c r="A25" s="9" t="s">
        <v>26</v>
      </c>
      <c r="B25" s="12">
        <v>152762</v>
      </c>
      <c r="C25" s="12">
        <v>133624.173920923</v>
      </c>
      <c r="D25" s="12">
        <v>110885.914229338</v>
      </c>
      <c r="E25" s="12">
        <v>91944.131789315303</v>
      </c>
      <c r="F25" s="12">
        <v>76208.804864310703</v>
      </c>
      <c r="G25" s="12">
        <v>63153.866410672497</v>
      </c>
      <c r="H25" s="12">
        <v>52333.0902570248</v>
      </c>
      <c r="I25" s="12">
        <v>43371.328017688997</v>
      </c>
      <c r="J25" s="12">
        <v>35954.402900858397</v>
      </c>
      <c r="K25" s="12">
        <v>29819.834182745199</v>
      </c>
      <c r="L25" s="12">
        <v>24748.728301236199</v>
      </c>
      <c r="M25" s="12">
        <v>20558.816129584298</v>
      </c>
      <c r="N25" s="12">
        <v>17098.5233448826</v>
      </c>
      <c r="O25" s="12">
        <v>14241.946063482401</v>
      </c>
      <c r="P25" s="12">
        <v>11884.6096115856</v>
      </c>
      <c r="Q25" s="12">
        <v>9939.8994441667001</v>
      </c>
      <c r="R25" s="12">
        <v>8336.0655941148598</v>
      </c>
      <c r="S25" s="12">
        <v>7013.7142049152999</v>
      </c>
      <c r="T25" s="12">
        <v>5923.7111056501899</v>
      </c>
      <c r="U25" s="13">
        <v>5025.4327834199303</v>
      </c>
    </row>
    <row r="26" spans="1:36" x14ac:dyDescent="0.25">
      <c r="A26" s="9" t="s">
        <v>27</v>
      </c>
      <c r="B26" s="12">
        <v>38409</v>
      </c>
      <c r="C26" s="12">
        <v>33872.2652698159</v>
      </c>
      <c r="D26" s="12">
        <v>27566.095590802499</v>
      </c>
      <c r="E26" s="12">
        <v>22446.936852414601</v>
      </c>
      <c r="F26" s="12">
        <v>18301.2134674607</v>
      </c>
      <c r="G26" s="12">
        <v>14943.9432251854</v>
      </c>
      <c r="H26" s="12">
        <v>12222.762089845601</v>
      </c>
      <c r="I26" s="12">
        <v>10014.714320360299</v>
      </c>
      <c r="J26" s="12">
        <v>8221.0536812191294</v>
      </c>
      <c r="K26" s="12">
        <v>6762.4815959262296</v>
      </c>
      <c r="L26" s="12">
        <v>5575.2378999549301</v>
      </c>
      <c r="M26" s="12">
        <v>4607.9760064643697</v>
      </c>
      <c r="N26" s="12">
        <v>3819.2803594911302</v>
      </c>
      <c r="O26" s="12">
        <v>3175.6945788124899</v>
      </c>
      <c r="P26" s="12">
        <v>2650.1528604599098</v>
      </c>
      <c r="Q26" s="12">
        <v>2220.72968242755</v>
      </c>
      <c r="R26" s="12">
        <v>1869.6411591195699</v>
      </c>
      <c r="S26" s="12">
        <v>1582.4457723922999</v>
      </c>
      <c r="T26" s="12">
        <v>1347.4034225413</v>
      </c>
      <c r="U26" s="13">
        <v>1154.9604800714501</v>
      </c>
    </row>
    <row r="27" spans="1:36" x14ac:dyDescent="0.25">
      <c r="A27" s="9" t="s">
        <v>28</v>
      </c>
      <c r="B27" s="12">
        <v>5080</v>
      </c>
      <c r="C27" s="12">
        <v>3615.0606884764502</v>
      </c>
      <c r="D27" s="12">
        <v>2771.2157086063899</v>
      </c>
      <c r="E27" s="12">
        <v>2229.1118463296398</v>
      </c>
      <c r="F27" s="12">
        <v>1816.9790522697899</v>
      </c>
      <c r="G27" s="12">
        <v>1487.87198679883</v>
      </c>
      <c r="H27" s="12">
        <v>1220.8844112950301</v>
      </c>
      <c r="I27" s="12">
        <v>1003.1570163121</v>
      </c>
      <c r="J27" s="12">
        <v>825.25476599537399</v>
      </c>
      <c r="K27" s="12">
        <v>679.75542779463399</v>
      </c>
      <c r="L27" s="12">
        <v>560.68337378535398</v>
      </c>
      <c r="M27" s="12">
        <v>463.19044911562997</v>
      </c>
      <c r="N27" s="12">
        <v>383.33170119505297</v>
      </c>
      <c r="O27" s="12">
        <v>317.89243118308599</v>
      </c>
      <c r="P27" s="12">
        <v>264.250458734814</v>
      </c>
      <c r="Q27" s="12">
        <v>220.26522283805801</v>
      </c>
      <c r="R27" s="12">
        <v>184.18811078295801</v>
      </c>
      <c r="S27" s="12">
        <v>154.589795695969</v>
      </c>
      <c r="T27" s="12">
        <v>130.30127008765101</v>
      </c>
      <c r="U27" s="13">
        <v>110.365936242983</v>
      </c>
    </row>
    <row r="28" spans="1:36" x14ac:dyDescent="0.25">
      <c r="A28" s="9" t="s">
        <v>29</v>
      </c>
      <c r="B28" s="12">
        <v>0</v>
      </c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3">
        <v>0</v>
      </c>
    </row>
    <row r="29" spans="1:36" x14ac:dyDescent="0.25">
      <c r="A29" s="9" t="s">
        <v>30</v>
      </c>
      <c r="B29" s="12">
        <v>0</v>
      </c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3">
        <v>0</v>
      </c>
    </row>
    <row r="30" spans="1:36" ht="16.5" thickBot="1" x14ac:dyDescent="0.3">
      <c r="A30" s="10" t="s">
        <v>31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5">
        <v>0</v>
      </c>
    </row>
    <row r="32" spans="1:36" ht="16.5" thickBot="1" x14ac:dyDescent="0.3">
      <c r="A32" s="7" t="s">
        <v>12</v>
      </c>
    </row>
    <row r="33" spans="1:21" s="1" customFormat="1" ht="16.5" thickBot="1" x14ac:dyDescent="0.3">
      <c r="A33" s="8" t="s">
        <v>8</v>
      </c>
      <c r="B33" s="5">
        <v>0</v>
      </c>
      <c r="C33" s="5">
        <v>1</v>
      </c>
      <c r="D33" s="5">
        <v>2</v>
      </c>
      <c r="E33" s="5">
        <v>3</v>
      </c>
      <c r="F33" s="5">
        <v>4</v>
      </c>
      <c r="G33" s="5">
        <v>5</v>
      </c>
      <c r="H33" s="5">
        <v>6</v>
      </c>
      <c r="I33" s="5">
        <v>7</v>
      </c>
      <c r="J33" s="5">
        <v>8</v>
      </c>
      <c r="K33" s="5">
        <v>9</v>
      </c>
      <c r="L33" s="5">
        <v>10</v>
      </c>
      <c r="M33" s="5">
        <v>11</v>
      </c>
      <c r="N33" s="5">
        <v>12</v>
      </c>
      <c r="O33" s="5">
        <v>13</v>
      </c>
      <c r="P33" s="5">
        <v>14</v>
      </c>
      <c r="Q33" s="5">
        <v>15</v>
      </c>
      <c r="R33" s="5">
        <v>16</v>
      </c>
      <c r="S33" s="5">
        <v>17</v>
      </c>
      <c r="T33" s="5">
        <v>18</v>
      </c>
      <c r="U33" s="6">
        <v>19</v>
      </c>
    </row>
    <row r="34" spans="1:21" ht="16.5" thickBot="1" x14ac:dyDescent="0.3">
      <c r="A34" s="10" t="s">
        <v>40</v>
      </c>
      <c r="B34">
        <v>205811</v>
      </c>
      <c r="C34">
        <v>171111.499879215</v>
      </c>
      <c r="D34">
        <v>141223.22552874699</v>
      </c>
      <c r="E34">
        <v>116620.18048805901</v>
      </c>
      <c r="F34">
        <v>96326.997384041097</v>
      </c>
      <c r="G34">
        <v>79585.681622656804</v>
      </c>
      <c r="H34">
        <v>65776.736758165396</v>
      </c>
      <c r="I34">
        <v>54389.199354361401</v>
      </c>
      <c r="J34">
        <v>45000.711348072902</v>
      </c>
      <c r="K34">
        <v>37262.071206466098</v>
      </c>
      <c r="L34">
        <v>30884.649574976502</v>
      </c>
      <c r="M34">
        <v>25629.9825851643</v>
      </c>
      <c r="N34">
        <v>21301.135405568799</v>
      </c>
      <c r="O34">
        <v>17735.533073478</v>
      </c>
      <c r="P34">
        <v>14799.0129307803</v>
      </c>
      <c r="Q34">
        <v>12380.894349432299</v>
      </c>
      <c r="R34">
        <v>10389.8948640174</v>
      </c>
      <c r="S34">
        <v>8750.7497730035702</v>
      </c>
      <c r="T34">
        <v>7401.4157982791403</v>
      </c>
      <c r="U34">
        <v>6290.7591997343598</v>
      </c>
    </row>
    <row r="36" spans="1:21" ht="16.5" thickBot="1" x14ac:dyDescent="0.3">
      <c r="A36" s="7" t="s">
        <v>13</v>
      </c>
    </row>
    <row r="37" spans="1:21" x14ac:dyDescent="0.25">
      <c r="A37" s="11" t="s">
        <v>8</v>
      </c>
      <c r="B37" s="2">
        <v>0</v>
      </c>
      <c r="C37" s="2">
        <v>1</v>
      </c>
      <c r="D37" s="2">
        <v>2</v>
      </c>
      <c r="E37" s="2">
        <v>3</v>
      </c>
      <c r="F37" s="2">
        <v>4</v>
      </c>
      <c r="G37" s="2">
        <v>5</v>
      </c>
      <c r="H37" s="2">
        <v>6</v>
      </c>
      <c r="I37" s="2">
        <v>7</v>
      </c>
      <c r="J37" s="2">
        <v>8</v>
      </c>
      <c r="K37" s="2">
        <v>9</v>
      </c>
      <c r="L37" s="2">
        <v>10</v>
      </c>
      <c r="M37" s="2">
        <v>11</v>
      </c>
      <c r="N37" s="2">
        <v>12</v>
      </c>
      <c r="O37" s="2">
        <v>13</v>
      </c>
      <c r="P37" s="2">
        <v>14</v>
      </c>
      <c r="Q37" s="2">
        <v>15</v>
      </c>
      <c r="R37" s="2">
        <v>16</v>
      </c>
      <c r="S37" s="2">
        <v>17</v>
      </c>
      <c r="T37" s="2">
        <v>18</v>
      </c>
      <c r="U37" s="3">
        <v>19</v>
      </c>
    </row>
    <row r="38" spans="1:21" ht="16.5" thickBot="1" x14ac:dyDescent="0.3">
      <c r="A38" s="10" t="s">
        <v>40</v>
      </c>
      <c r="B38">
        <v>205811</v>
      </c>
      <c r="C38">
        <v>376922.49987921503</v>
      </c>
      <c r="D38">
        <v>518145.72540796199</v>
      </c>
      <c r="E38">
        <v>634765.90589602105</v>
      </c>
      <c r="F38">
        <v>731092.90328006202</v>
      </c>
      <c r="G38">
        <v>810678.58490271901</v>
      </c>
      <c r="H38">
        <v>876455.32166088501</v>
      </c>
      <c r="I38">
        <v>930844.52101524605</v>
      </c>
      <c r="J38">
        <v>975845.23236331902</v>
      </c>
      <c r="K38">
        <v>1013107.30356978</v>
      </c>
      <c r="L38">
        <v>1043991.95314476</v>
      </c>
      <c r="M38">
        <v>1069621.9357299299</v>
      </c>
      <c r="N38">
        <v>1090923.07113549</v>
      </c>
      <c r="O38">
        <v>1108658.60420897</v>
      </c>
      <c r="P38">
        <v>1123457.6171397499</v>
      </c>
      <c r="Q38">
        <v>1135838.5114891899</v>
      </c>
      <c r="R38">
        <v>1146228.4063532001</v>
      </c>
      <c r="S38">
        <v>1154979.15612621</v>
      </c>
      <c r="T38">
        <v>1162380.5719244899</v>
      </c>
      <c r="U38">
        <v>1168671.33112422</v>
      </c>
    </row>
    <row r="39" spans="1:21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</row>
    <row r="40" spans="1:21" ht="16.5" thickBot="1" x14ac:dyDescent="0.3">
      <c r="A40" s="7" t="s">
        <v>14</v>
      </c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spans="1:21" s="4" customFormat="1" ht="16.5" thickBot="1" x14ac:dyDescent="0.3">
      <c r="A41" s="8" t="s">
        <v>8</v>
      </c>
      <c r="B41" s="17">
        <v>0</v>
      </c>
      <c r="C41" s="17">
        <v>1</v>
      </c>
      <c r="D41" s="17">
        <v>2</v>
      </c>
      <c r="E41" s="17">
        <v>3</v>
      </c>
      <c r="F41" s="17">
        <v>4</v>
      </c>
      <c r="G41" s="17">
        <v>5</v>
      </c>
      <c r="H41" s="17">
        <v>6</v>
      </c>
      <c r="I41" s="17">
        <v>7</v>
      </c>
      <c r="J41" s="17">
        <v>8</v>
      </c>
      <c r="K41" s="17">
        <v>9</v>
      </c>
      <c r="L41" s="17">
        <v>10</v>
      </c>
      <c r="M41" s="17">
        <v>11</v>
      </c>
      <c r="N41" s="17">
        <v>12</v>
      </c>
      <c r="O41" s="17">
        <v>13</v>
      </c>
      <c r="P41" s="17">
        <v>14</v>
      </c>
      <c r="Q41" s="17">
        <v>15</v>
      </c>
      <c r="R41" s="17">
        <v>16</v>
      </c>
      <c r="S41" s="17">
        <v>17</v>
      </c>
      <c r="T41" s="17">
        <v>18</v>
      </c>
      <c r="U41" s="18">
        <v>19</v>
      </c>
    </row>
    <row r="42" spans="1:21" ht="16.5" thickBot="1" x14ac:dyDescent="0.3">
      <c r="A42" s="10" t="s">
        <v>40</v>
      </c>
      <c r="B42">
        <v>205811</v>
      </c>
      <c r="C42">
        <v>148792.608590622</v>
      </c>
      <c r="D42">
        <v>106785.047658788</v>
      </c>
      <c r="E42">
        <v>76679.661700047305</v>
      </c>
      <c r="F42">
        <v>55075.273392557203</v>
      </c>
      <c r="G42">
        <v>39568.149365641599</v>
      </c>
      <c r="H42">
        <v>28437.098469564899</v>
      </c>
      <c r="I42">
        <v>20446.9146090656</v>
      </c>
      <c r="J42">
        <v>14710.812364024399</v>
      </c>
      <c r="K42">
        <v>10592.206238761701</v>
      </c>
      <c r="L42">
        <v>7634.2130288673798</v>
      </c>
      <c r="M42">
        <v>5508.9910549759798</v>
      </c>
      <c r="N42">
        <v>3981.3345143951601</v>
      </c>
      <c r="O42">
        <v>2882.5199511349001</v>
      </c>
      <c r="P42">
        <v>2091.52463702667</v>
      </c>
      <c r="Q42">
        <v>1521.54363745514</v>
      </c>
      <c r="R42">
        <v>1110.3137223052099</v>
      </c>
      <c r="S42">
        <v>813.171182241201</v>
      </c>
      <c r="T42">
        <v>598.07228360000704</v>
      </c>
      <c r="U42">
        <v>442.02221312936399</v>
      </c>
    </row>
    <row r="43" spans="1:2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</row>
    <row r="44" spans="1:21" ht="16.5" thickBot="1" x14ac:dyDescent="0.3">
      <c r="A44" s="7" t="s">
        <v>15</v>
      </c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16.5" thickBot="1" x14ac:dyDescent="0.3">
      <c r="A45" s="8" t="s">
        <v>8</v>
      </c>
      <c r="B45" s="17">
        <v>0</v>
      </c>
      <c r="C45" s="17">
        <v>1</v>
      </c>
      <c r="D45" s="17">
        <v>2</v>
      </c>
      <c r="E45" s="17">
        <v>3</v>
      </c>
      <c r="F45" s="17">
        <v>4</v>
      </c>
      <c r="G45" s="17">
        <v>5</v>
      </c>
      <c r="H45" s="17">
        <v>6</v>
      </c>
      <c r="I45" s="17">
        <v>7</v>
      </c>
      <c r="J45" s="17">
        <v>8</v>
      </c>
      <c r="K45" s="17">
        <v>9</v>
      </c>
      <c r="L45" s="17">
        <v>10</v>
      </c>
      <c r="M45" s="17">
        <v>11</v>
      </c>
      <c r="N45" s="17">
        <v>12</v>
      </c>
      <c r="O45" s="17">
        <v>13</v>
      </c>
      <c r="P45" s="17">
        <v>14</v>
      </c>
      <c r="Q45" s="17">
        <v>15</v>
      </c>
      <c r="R45" s="17">
        <v>16</v>
      </c>
      <c r="S45" s="17">
        <v>17</v>
      </c>
      <c r="T45" s="17">
        <v>18</v>
      </c>
      <c r="U45" s="18">
        <v>19</v>
      </c>
    </row>
    <row r="46" spans="1:21" ht="16.5" thickBot="1" x14ac:dyDescent="0.3">
      <c r="A46" s="10" t="s">
        <v>40</v>
      </c>
      <c r="B46">
        <v>205811</v>
      </c>
      <c r="C46">
        <v>354603.60859062203</v>
      </c>
      <c r="D46">
        <v>461388.65624940902</v>
      </c>
      <c r="E46">
        <v>538068.31794945698</v>
      </c>
      <c r="F46">
        <v>593143.59134201403</v>
      </c>
      <c r="G46">
        <v>632711.74070765602</v>
      </c>
      <c r="H46">
        <v>661148.83917722001</v>
      </c>
      <c r="I46">
        <v>681595.75378628599</v>
      </c>
      <c r="J46">
        <v>696306.56615031103</v>
      </c>
      <c r="K46">
        <v>706898.77238907199</v>
      </c>
      <c r="L46">
        <v>714532.98541793996</v>
      </c>
      <c r="M46">
        <v>720041.97647291597</v>
      </c>
      <c r="N46">
        <v>724023.31098731095</v>
      </c>
      <c r="O46">
        <v>726905.83093844599</v>
      </c>
      <c r="P46">
        <v>728997.355575472</v>
      </c>
      <c r="Q46">
        <v>730518.89921292698</v>
      </c>
      <c r="R46">
        <v>731629.21293523302</v>
      </c>
      <c r="S46">
        <v>732442.38411747396</v>
      </c>
      <c r="T46">
        <v>733040.45640107396</v>
      </c>
      <c r="U46">
        <v>733482.47861420305</v>
      </c>
    </row>
    <row r="50" spans="1:33" ht="16.5" thickBot="1" x14ac:dyDescent="0.3"/>
    <row r="51" spans="1:33" ht="16.5" thickBot="1" x14ac:dyDescent="0.3">
      <c r="A51" s="8" t="s">
        <v>42</v>
      </c>
    </row>
    <row r="52" spans="1:33" ht="16.5" thickBot="1" x14ac:dyDescent="0.3">
      <c r="A52" s="8" t="s">
        <v>8</v>
      </c>
      <c r="B52" s="5">
        <v>0</v>
      </c>
      <c r="C52" s="5">
        <v>1</v>
      </c>
      <c r="D52" s="5">
        <v>2</v>
      </c>
      <c r="E52" s="5">
        <v>3</v>
      </c>
      <c r="F52" s="5">
        <v>4</v>
      </c>
      <c r="G52" s="5">
        <v>5</v>
      </c>
      <c r="H52" s="5">
        <v>6</v>
      </c>
      <c r="I52" s="5">
        <v>7</v>
      </c>
      <c r="J52" s="5">
        <v>8</v>
      </c>
      <c r="K52" s="5">
        <v>9</v>
      </c>
      <c r="L52" s="5">
        <v>10</v>
      </c>
      <c r="M52" s="5">
        <v>11</v>
      </c>
      <c r="N52" s="5">
        <v>12</v>
      </c>
      <c r="O52" s="5">
        <v>13</v>
      </c>
      <c r="P52" s="5">
        <v>14</v>
      </c>
      <c r="Q52" s="5">
        <v>15</v>
      </c>
      <c r="R52" s="5">
        <v>16</v>
      </c>
      <c r="S52" s="5">
        <v>17</v>
      </c>
      <c r="T52" s="5">
        <v>18</v>
      </c>
      <c r="U52" s="6">
        <v>19</v>
      </c>
    </row>
    <row r="53" spans="1:33" x14ac:dyDescent="0.25">
      <c r="A53" s="9" t="s">
        <v>25</v>
      </c>
      <c r="B53" s="26">
        <f>+B24/B$34</f>
        <v>4.645038409025757E-2</v>
      </c>
      <c r="C53" s="26">
        <f t="shared" ref="C53:U53" si="0">+C24/C$34</f>
        <v>0</v>
      </c>
      <c r="D53" s="26">
        <f t="shared" si="0"/>
        <v>0</v>
      </c>
      <c r="E53" s="26">
        <f t="shared" si="0"/>
        <v>0</v>
      </c>
      <c r="F53" s="26">
        <f t="shared" si="0"/>
        <v>0</v>
      </c>
      <c r="G53" s="26">
        <f t="shared" si="0"/>
        <v>0</v>
      </c>
      <c r="H53" s="26">
        <f t="shared" si="0"/>
        <v>0</v>
      </c>
      <c r="I53" s="26">
        <f t="shared" si="0"/>
        <v>0</v>
      </c>
      <c r="J53" s="26">
        <f t="shared" si="0"/>
        <v>0</v>
      </c>
      <c r="K53" s="26">
        <f t="shared" si="0"/>
        <v>0</v>
      </c>
      <c r="L53" s="26">
        <f t="shared" si="0"/>
        <v>0</v>
      </c>
      <c r="M53" s="26">
        <f t="shared" si="0"/>
        <v>0</v>
      </c>
      <c r="N53" s="26">
        <f t="shared" si="0"/>
        <v>0</v>
      </c>
      <c r="O53" s="26">
        <f t="shared" si="0"/>
        <v>0</v>
      </c>
      <c r="P53" s="26">
        <f t="shared" si="0"/>
        <v>0</v>
      </c>
      <c r="Q53" s="26">
        <f t="shared" si="0"/>
        <v>0</v>
      </c>
      <c r="R53" s="26">
        <f t="shared" si="0"/>
        <v>0</v>
      </c>
      <c r="S53" s="26">
        <f t="shared" si="0"/>
        <v>0</v>
      </c>
      <c r="T53" s="26">
        <f t="shared" si="0"/>
        <v>0</v>
      </c>
      <c r="U53" s="27">
        <f t="shared" si="0"/>
        <v>0</v>
      </c>
    </row>
    <row r="54" spans="1:33" x14ac:dyDescent="0.25">
      <c r="A54" s="9" t="s">
        <v>26</v>
      </c>
      <c r="B54" s="26">
        <f t="shared" ref="B54:U54" si="1">+B25/B$34</f>
        <v>0.74224409774015965</v>
      </c>
      <c r="C54" s="26">
        <f t="shared" si="1"/>
        <v>0.78091872267642015</v>
      </c>
      <c r="D54" s="26">
        <f t="shared" si="1"/>
        <v>0.78518185528035811</v>
      </c>
      <c r="E54" s="26">
        <f t="shared" si="1"/>
        <v>0.78840670117750045</v>
      </c>
      <c r="F54" s="26">
        <f t="shared" si="1"/>
        <v>0.79114689478462386</v>
      </c>
      <c r="G54" s="26">
        <f t="shared" si="1"/>
        <v>0.79353302155665117</v>
      </c>
      <c r="H54" s="26">
        <f t="shared" si="1"/>
        <v>0.79561700437394034</v>
      </c>
      <c r="I54" s="26">
        <f t="shared" si="1"/>
        <v>0.79742538100464067</v>
      </c>
      <c r="J54" s="26">
        <f t="shared" si="1"/>
        <v>0.79897410115936085</v>
      </c>
      <c r="K54" s="26">
        <f t="shared" si="1"/>
        <v>0.80027312538575568</v>
      </c>
      <c r="L54" s="26">
        <f t="shared" si="1"/>
        <v>0.80132780011492255</v>
      </c>
      <c r="M54" s="26">
        <f t="shared" si="1"/>
        <v>0.80213929374593473</v>
      </c>
      <c r="N54" s="26">
        <f t="shared" si="1"/>
        <v>0.80270478635671683</v>
      </c>
      <c r="O54" s="26">
        <f t="shared" si="1"/>
        <v>0.80301764849572155</v>
      </c>
      <c r="P54" s="26">
        <f t="shared" si="1"/>
        <v>0.80306772263621273</v>
      </c>
      <c r="Q54" s="26">
        <f t="shared" si="1"/>
        <v>0.80284179507779052</v>
      </c>
      <c r="R54" s="26">
        <f t="shared" si="1"/>
        <v>0.80232434526210417</v>
      </c>
      <c r="S54" s="26">
        <f t="shared" si="1"/>
        <v>0.80149865861241998</v>
      </c>
      <c r="T54" s="26">
        <f t="shared" si="1"/>
        <v>0.80034837483761923</v>
      </c>
      <c r="U54" s="27">
        <f t="shared" si="1"/>
        <v>0.79885950548419327</v>
      </c>
    </row>
    <row r="55" spans="1:33" x14ac:dyDescent="0.25">
      <c r="A55" s="9" t="s">
        <v>27</v>
      </c>
      <c r="B55" s="26">
        <f t="shared" ref="B55:U55" si="2">+B26/B$34</f>
        <v>0.18662267808814884</v>
      </c>
      <c r="C55" s="26">
        <f t="shared" si="2"/>
        <v>0.19795434727488109</v>
      </c>
      <c r="D55" s="26">
        <f t="shared" si="2"/>
        <v>0.19519519886048223</v>
      </c>
      <c r="E55" s="26">
        <f t="shared" si="2"/>
        <v>0.19247900970889847</v>
      </c>
      <c r="F55" s="26">
        <f t="shared" si="2"/>
        <v>0.1899904903554353</v>
      </c>
      <c r="G55" s="26">
        <f t="shared" si="2"/>
        <v>0.18777175643276883</v>
      </c>
      <c r="H55" s="26">
        <f t="shared" si="2"/>
        <v>0.1858219591340291</v>
      </c>
      <c r="I55" s="26">
        <f t="shared" si="2"/>
        <v>0.18413057076114564</v>
      </c>
      <c r="J55" s="26">
        <f t="shared" si="2"/>
        <v>0.18268719393412847</v>
      </c>
      <c r="K55" s="26">
        <f t="shared" si="2"/>
        <v>0.18148431842277019</v>
      </c>
      <c r="L55" s="26">
        <f t="shared" si="2"/>
        <v>0.18051808832799981</v>
      </c>
      <c r="M55" s="26">
        <f t="shared" si="2"/>
        <v>0.17978849541363551</v>
      </c>
      <c r="N55" s="26">
        <f t="shared" si="2"/>
        <v>0.17929937943555102</v>
      </c>
      <c r="O55" s="26">
        <f t="shared" si="2"/>
        <v>0.17905830998457409</v>
      </c>
      <c r="P55" s="26">
        <f t="shared" si="2"/>
        <v>0.17907632575601626</v>
      </c>
      <c r="Q55" s="26">
        <f t="shared" si="2"/>
        <v>0.17936746892031891</v>
      </c>
      <c r="R55" s="26">
        <f t="shared" si="2"/>
        <v>0.17994803446900776</v>
      </c>
      <c r="S55" s="26">
        <f t="shared" si="2"/>
        <v>0.18083544992615505</v>
      </c>
      <c r="T55" s="26">
        <f t="shared" si="2"/>
        <v>0.18204671366450953</v>
      </c>
      <c r="U55" s="27">
        <f t="shared" si="2"/>
        <v>0.18359635830921978</v>
      </c>
    </row>
    <row r="56" spans="1:33" x14ac:dyDescent="0.25">
      <c r="A56" s="9" t="s">
        <v>28</v>
      </c>
      <c r="B56" s="26">
        <f t="shared" ref="B56:U56" si="3">+B27/B$34</f>
        <v>2.4682840081433937E-2</v>
      </c>
      <c r="C56" s="26">
        <f t="shared" si="3"/>
        <v>2.1126930048700795E-2</v>
      </c>
      <c r="D56" s="26">
        <f t="shared" si="3"/>
        <v>1.9622945859158906E-2</v>
      </c>
      <c r="E56" s="26">
        <f t="shared" si="3"/>
        <v>1.9114289113605715E-2</v>
      </c>
      <c r="F56" s="26">
        <f t="shared" si="3"/>
        <v>1.8862614859941815E-2</v>
      </c>
      <c r="G56" s="26">
        <f t="shared" si="3"/>
        <v>1.8695222010579049E-2</v>
      </c>
      <c r="H56" s="26">
        <f t="shared" si="3"/>
        <v>1.8561036492031082E-2</v>
      </c>
      <c r="I56" s="26">
        <f t="shared" si="3"/>
        <v>1.8444048234213584E-2</v>
      </c>
      <c r="J56" s="26">
        <f t="shared" si="3"/>
        <v>1.8338704906510649E-2</v>
      </c>
      <c r="K56" s="26">
        <f t="shared" si="3"/>
        <v>1.8242556191473216E-2</v>
      </c>
      <c r="L56" s="26">
        <f t="shared" si="3"/>
        <v>1.8154111557076993E-2</v>
      </c>
      <c r="M56" s="26">
        <f t="shared" si="3"/>
        <v>1.8072210840429672E-2</v>
      </c>
      <c r="N56" s="26">
        <f t="shared" si="3"/>
        <v>1.7995834207731376E-2</v>
      </c>
      <c r="O56" s="26">
        <f t="shared" si="3"/>
        <v>1.7924041519703032E-2</v>
      </c>
      <c r="P56" s="26">
        <f t="shared" si="3"/>
        <v>1.7855951607772601E-2</v>
      </c>
      <c r="Q56" s="26">
        <f t="shared" si="3"/>
        <v>1.7790736001891318E-2</v>
      </c>
      <c r="R56" s="26">
        <f t="shared" si="3"/>
        <v>1.7727620268886825E-2</v>
      </c>
      <c r="S56" s="26">
        <f t="shared" si="3"/>
        <v>1.7665891461424825E-2</v>
      </c>
      <c r="T56" s="26">
        <f t="shared" si="3"/>
        <v>1.7604911497871339E-2</v>
      </c>
      <c r="U56" s="27">
        <f t="shared" si="3"/>
        <v>1.7544136206587502E-2</v>
      </c>
    </row>
    <row r="57" spans="1:33" x14ac:dyDescent="0.25">
      <c r="A57" s="9" t="s">
        <v>29</v>
      </c>
      <c r="B57" s="26">
        <f t="shared" ref="B57:U57" si="4">+B28/B$34</f>
        <v>0</v>
      </c>
      <c r="C57" s="26">
        <f t="shared" si="4"/>
        <v>0</v>
      </c>
      <c r="D57" s="26">
        <f t="shared" si="4"/>
        <v>0</v>
      </c>
      <c r="E57" s="26">
        <f t="shared" si="4"/>
        <v>0</v>
      </c>
      <c r="F57" s="26">
        <f t="shared" si="4"/>
        <v>0</v>
      </c>
      <c r="G57" s="26">
        <f t="shared" si="4"/>
        <v>0</v>
      </c>
      <c r="H57" s="26">
        <f t="shared" si="4"/>
        <v>0</v>
      </c>
      <c r="I57" s="26">
        <f t="shared" si="4"/>
        <v>0</v>
      </c>
      <c r="J57" s="26">
        <f t="shared" si="4"/>
        <v>0</v>
      </c>
      <c r="K57" s="26">
        <f t="shared" si="4"/>
        <v>0</v>
      </c>
      <c r="L57" s="26">
        <f t="shared" si="4"/>
        <v>0</v>
      </c>
      <c r="M57" s="26">
        <f t="shared" si="4"/>
        <v>0</v>
      </c>
      <c r="N57" s="26">
        <f t="shared" si="4"/>
        <v>0</v>
      </c>
      <c r="O57" s="26">
        <f t="shared" si="4"/>
        <v>0</v>
      </c>
      <c r="P57" s="26">
        <f t="shared" si="4"/>
        <v>0</v>
      </c>
      <c r="Q57" s="26">
        <f t="shared" si="4"/>
        <v>0</v>
      </c>
      <c r="R57" s="26">
        <f t="shared" si="4"/>
        <v>0</v>
      </c>
      <c r="S57" s="26">
        <f t="shared" si="4"/>
        <v>0</v>
      </c>
      <c r="T57" s="26">
        <f t="shared" si="4"/>
        <v>0</v>
      </c>
      <c r="U57" s="27">
        <f t="shared" si="4"/>
        <v>0</v>
      </c>
    </row>
    <row r="58" spans="1:33" x14ac:dyDescent="0.25">
      <c r="A58" s="9" t="s">
        <v>30</v>
      </c>
      <c r="B58" s="26">
        <f t="shared" ref="B58:U58" si="5">+B29/B$34</f>
        <v>0</v>
      </c>
      <c r="C58" s="26">
        <f t="shared" si="5"/>
        <v>0</v>
      </c>
      <c r="D58" s="26">
        <f t="shared" si="5"/>
        <v>0</v>
      </c>
      <c r="E58" s="26">
        <f t="shared" si="5"/>
        <v>0</v>
      </c>
      <c r="F58" s="26">
        <f t="shared" si="5"/>
        <v>0</v>
      </c>
      <c r="G58" s="26">
        <f t="shared" si="5"/>
        <v>0</v>
      </c>
      <c r="H58" s="26">
        <f t="shared" si="5"/>
        <v>0</v>
      </c>
      <c r="I58" s="26">
        <f t="shared" si="5"/>
        <v>0</v>
      </c>
      <c r="J58" s="26">
        <f t="shared" si="5"/>
        <v>0</v>
      </c>
      <c r="K58" s="26">
        <f t="shared" si="5"/>
        <v>0</v>
      </c>
      <c r="L58" s="26">
        <f t="shared" si="5"/>
        <v>0</v>
      </c>
      <c r="M58" s="26">
        <f t="shared" si="5"/>
        <v>0</v>
      </c>
      <c r="N58" s="26">
        <f t="shared" si="5"/>
        <v>0</v>
      </c>
      <c r="O58" s="26">
        <f t="shared" si="5"/>
        <v>0</v>
      </c>
      <c r="P58" s="26">
        <f t="shared" si="5"/>
        <v>0</v>
      </c>
      <c r="Q58" s="26">
        <f t="shared" si="5"/>
        <v>0</v>
      </c>
      <c r="R58" s="26">
        <f t="shared" si="5"/>
        <v>0</v>
      </c>
      <c r="S58" s="26">
        <f t="shared" si="5"/>
        <v>0</v>
      </c>
      <c r="T58" s="26">
        <f t="shared" si="5"/>
        <v>0</v>
      </c>
      <c r="U58" s="27">
        <f t="shared" si="5"/>
        <v>0</v>
      </c>
    </row>
    <row r="59" spans="1:33" ht="16.5" thickBot="1" x14ac:dyDescent="0.3">
      <c r="A59" s="10" t="s">
        <v>31</v>
      </c>
      <c r="B59" s="28">
        <f t="shared" ref="B59:U59" si="6">+B30/B$34</f>
        <v>0</v>
      </c>
      <c r="C59" s="28">
        <f t="shared" si="6"/>
        <v>0</v>
      </c>
      <c r="D59" s="28">
        <f t="shared" si="6"/>
        <v>0</v>
      </c>
      <c r="E59" s="28">
        <f t="shared" si="6"/>
        <v>0</v>
      </c>
      <c r="F59" s="28">
        <f t="shared" si="6"/>
        <v>0</v>
      </c>
      <c r="G59" s="28">
        <f t="shared" si="6"/>
        <v>0</v>
      </c>
      <c r="H59" s="28">
        <f t="shared" si="6"/>
        <v>0</v>
      </c>
      <c r="I59" s="28">
        <f t="shared" si="6"/>
        <v>0</v>
      </c>
      <c r="J59" s="28">
        <f t="shared" si="6"/>
        <v>0</v>
      </c>
      <c r="K59" s="28">
        <f t="shared" si="6"/>
        <v>0</v>
      </c>
      <c r="L59" s="28">
        <f t="shared" si="6"/>
        <v>0</v>
      </c>
      <c r="M59" s="28">
        <f t="shared" si="6"/>
        <v>0</v>
      </c>
      <c r="N59" s="28">
        <f t="shared" si="6"/>
        <v>0</v>
      </c>
      <c r="O59" s="28">
        <f t="shared" si="6"/>
        <v>0</v>
      </c>
      <c r="P59" s="28">
        <f t="shared" si="6"/>
        <v>0</v>
      </c>
      <c r="Q59" s="28">
        <f t="shared" si="6"/>
        <v>0</v>
      </c>
      <c r="R59" s="28">
        <f t="shared" si="6"/>
        <v>0</v>
      </c>
      <c r="S59" s="28">
        <f t="shared" si="6"/>
        <v>0</v>
      </c>
      <c r="T59" s="28">
        <f t="shared" si="6"/>
        <v>0</v>
      </c>
      <c r="U59" s="29">
        <f t="shared" si="6"/>
        <v>0</v>
      </c>
    </row>
    <row r="60" spans="1:33" x14ac:dyDescent="0.25">
      <c r="B60" s="30">
        <f>1-SUM(B53:B59)</f>
        <v>0</v>
      </c>
      <c r="C60" s="30">
        <f t="shared" ref="C60:U60" si="7">1-SUM(C53:C59)</f>
        <v>-1.9984014443252818E-15</v>
      </c>
      <c r="D60" s="30">
        <f t="shared" si="7"/>
        <v>0</v>
      </c>
      <c r="E60" s="30">
        <f t="shared" si="7"/>
        <v>-4.6629367034256575E-15</v>
      </c>
      <c r="F60" s="30">
        <f t="shared" si="7"/>
        <v>0</v>
      </c>
      <c r="G60" s="30">
        <f t="shared" si="7"/>
        <v>0</v>
      </c>
      <c r="H60" s="30">
        <f t="shared" si="7"/>
        <v>0</v>
      </c>
      <c r="I60" s="30">
        <f t="shared" si="7"/>
        <v>0</v>
      </c>
      <c r="J60" s="30">
        <f t="shared" si="7"/>
        <v>0</v>
      </c>
      <c r="K60" s="30">
        <f t="shared" si="7"/>
        <v>0</v>
      </c>
      <c r="L60" s="30">
        <f t="shared" si="7"/>
        <v>0</v>
      </c>
      <c r="M60" s="30">
        <f t="shared" si="7"/>
        <v>0</v>
      </c>
      <c r="N60" s="30">
        <f t="shared" si="7"/>
        <v>0</v>
      </c>
      <c r="O60" s="30">
        <f t="shared" si="7"/>
        <v>0</v>
      </c>
      <c r="P60" s="30">
        <f t="shared" si="7"/>
        <v>0</v>
      </c>
      <c r="Q60" s="30">
        <f t="shared" si="7"/>
        <v>0</v>
      </c>
      <c r="R60" s="30">
        <f t="shared" si="7"/>
        <v>0</v>
      </c>
      <c r="S60" s="30">
        <f t="shared" si="7"/>
        <v>0</v>
      </c>
      <c r="T60" s="30">
        <f t="shared" si="7"/>
        <v>0</v>
      </c>
      <c r="U60" s="30">
        <f t="shared" si="7"/>
        <v>0</v>
      </c>
    </row>
    <row r="61" spans="1:33" ht="16.5" thickBot="1" x14ac:dyDescent="0.3"/>
    <row r="62" spans="1:33" ht="16.5" thickBot="1" x14ac:dyDescent="0.3">
      <c r="A62" s="8" t="s">
        <v>43</v>
      </c>
    </row>
    <row r="63" spans="1:33" ht="16.5" thickBot="1" x14ac:dyDescent="0.3">
      <c r="A63" s="8" t="s">
        <v>8</v>
      </c>
      <c r="B63" s="5">
        <v>0</v>
      </c>
      <c r="C63" s="5">
        <v>1</v>
      </c>
      <c r="D63" s="5">
        <v>2</v>
      </c>
      <c r="E63" s="5">
        <v>3</v>
      </c>
      <c r="F63" s="5">
        <v>4</v>
      </c>
      <c r="G63" s="5">
        <v>5</v>
      </c>
      <c r="H63" s="5">
        <v>6</v>
      </c>
      <c r="I63" s="5">
        <v>7</v>
      </c>
      <c r="J63" s="5">
        <v>8</v>
      </c>
      <c r="K63" s="5">
        <v>9</v>
      </c>
      <c r="L63" s="5">
        <v>10</v>
      </c>
      <c r="M63" s="5">
        <v>11</v>
      </c>
      <c r="N63" s="5">
        <v>12</v>
      </c>
      <c r="O63" s="5">
        <v>13</v>
      </c>
      <c r="P63" s="5">
        <v>14</v>
      </c>
      <c r="Q63" s="5">
        <v>15</v>
      </c>
      <c r="R63" s="5">
        <v>16</v>
      </c>
      <c r="S63" s="5">
        <v>17</v>
      </c>
      <c r="T63" s="5">
        <v>18</v>
      </c>
      <c r="U63" s="6">
        <v>19</v>
      </c>
    </row>
    <row r="64" spans="1:33" x14ac:dyDescent="0.25">
      <c r="A64" s="9" t="s">
        <v>25</v>
      </c>
      <c r="B64" s="12">
        <f>+B53*B$42</f>
        <v>9560</v>
      </c>
      <c r="C64" s="31">
        <f t="shared" ref="C64:U64" si="8">+C53*C$42</f>
        <v>0</v>
      </c>
      <c r="D64" s="31">
        <f t="shared" si="8"/>
        <v>0</v>
      </c>
      <c r="E64" s="31">
        <f t="shared" si="8"/>
        <v>0</v>
      </c>
      <c r="F64" s="31">
        <f t="shared" si="8"/>
        <v>0</v>
      </c>
      <c r="G64" s="31">
        <f t="shared" si="8"/>
        <v>0</v>
      </c>
      <c r="H64" s="31">
        <f t="shared" si="8"/>
        <v>0</v>
      </c>
      <c r="I64" s="31">
        <f t="shared" si="8"/>
        <v>0</v>
      </c>
      <c r="J64" s="31">
        <f t="shared" si="8"/>
        <v>0</v>
      </c>
      <c r="K64" s="31">
        <f t="shared" si="8"/>
        <v>0</v>
      </c>
      <c r="L64" s="31">
        <f t="shared" si="8"/>
        <v>0</v>
      </c>
      <c r="M64" s="31">
        <f t="shared" si="8"/>
        <v>0</v>
      </c>
      <c r="N64" s="31">
        <f t="shared" si="8"/>
        <v>0</v>
      </c>
      <c r="O64" s="31">
        <f t="shared" si="8"/>
        <v>0</v>
      </c>
      <c r="P64" s="31">
        <f t="shared" si="8"/>
        <v>0</v>
      </c>
      <c r="Q64" s="31">
        <f t="shared" si="8"/>
        <v>0</v>
      </c>
      <c r="R64" s="31">
        <f t="shared" si="8"/>
        <v>0</v>
      </c>
      <c r="S64" s="31">
        <f t="shared" si="8"/>
        <v>0</v>
      </c>
      <c r="T64" s="31">
        <f t="shared" si="8"/>
        <v>0</v>
      </c>
      <c r="U64" s="32">
        <f t="shared" si="8"/>
        <v>0</v>
      </c>
      <c r="AD64" t="s">
        <v>28</v>
      </c>
      <c r="AE64" t="s">
        <v>27</v>
      </c>
      <c r="AF64" t="s">
        <v>26</v>
      </c>
      <c r="AG64" t="s">
        <v>25</v>
      </c>
    </row>
    <row r="65" spans="1:33" x14ac:dyDescent="0.25">
      <c r="A65" s="9" t="s">
        <v>26</v>
      </c>
      <c r="B65" s="31">
        <f t="shared" ref="B65:U65" si="9">+B54*B$42</f>
        <v>152762</v>
      </c>
      <c r="C65" s="31">
        <f t="shared" si="9"/>
        <v>116194.93384428107</v>
      </c>
      <c r="D65" s="31">
        <f t="shared" si="9"/>
        <v>83845.681836928619</v>
      </c>
      <c r="E65" s="31">
        <f t="shared" si="9"/>
        <v>60454.759128341022</v>
      </c>
      <c r="F65" s="31">
        <f t="shared" si="9"/>
        <v>43572.631523935845</v>
      </c>
      <c r="G65" s="31">
        <f t="shared" si="9"/>
        <v>31398.633123522468</v>
      </c>
      <c r="H65" s="31">
        <f t="shared" si="9"/>
        <v>22625.03909744199</v>
      </c>
      <c r="I65" s="31">
        <f t="shared" si="9"/>
        <v>16304.888672503488</v>
      </c>
      <c r="J65" s="31">
        <f t="shared" si="9"/>
        <v>11753.558085870407</v>
      </c>
      <c r="K65" s="31">
        <f t="shared" si="9"/>
        <v>8476.6579914243266</v>
      </c>
      <c r="L65" s="31">
        <f t="shared" si="9"/>
        <v>6117.5071320309771</v>
      </c>
      <c r="M65" s="31">
        <f t="shared" si="9"/>
        <v>4418.9781940911043</v>
      </c>
      <c r="N65" s="31">
        <f t="shared" si="9"/>
        <v>3195.8362707921901</v>
      </c>
      <c r="O65" s="31">
        <f t="shared" si="9"/>
        <v>2314.7143929023496</v>
      </c>
      <c r="P65" s="31">
        <f t="shared" si="9"/>
        <v>1679.6359270945393</v>
      </c>
      <c r="Q65" s="31">
        <f t="shared" si="9"/>
        <v>1221.5588251836755</v>
      </c>
      <c r="R65" s="31">
        <f t="shared" si="9"/>
        <v>890.83173028405724</v>
      </c>
      <c r="S65" s="31">
        <f t="shared" si="9"/>
        <v>651.75561178859834</v>
      </c>
      <c r="T65" s="31">
        <f t="shared" si="9"/>
        <v>478.66618021468935</v>
      </c>
      <c r="U65" s="32">
        <f t="shared" si="9"/>
        <v>353.1136465935524</v>
      </c>
      <c r="AC65" t="s">
        <v>44</v>
      </c>
      <c r="AD65">
        <v>5080</v>
      </c>
      <c r="AE65">
        <v>38409</v>
      </c>
      <c r="AF65">
        <v>152762</v>
      </c>
      <c r="AG65">
        <v>9560</v>
      </c>
    </row>
    <row r="66" spans="1:33" x14ac:dyDescent="0.25">
      <c r="A66" s="9" t="s">
        <v>27</v>
      </c>
      <c r="B66" s="31">
        <f t="shared" ref="B66:U66" si="10">+B55*B$42</f>
        <v>38409</v>
      </c>
      <c r="C66" s="31">
        <f t="shared" si="10"/>
        <v>29454.143712883444</v>
      </c>
      <c r="D66" s="31">
        <f t="shared" si="10"/>
        <v>20843.928613083193</v>
      </c>
      <c r="E66" s="31">
        <f t="shared" si="10"/>
        <v>14759.225348838456</v>
      </c>
      <c r="F66" s="31">
        <f t="shared" si="10"/>
        <v>10463.778198311602</v>
      </c>
      <c r="G66" s="31">
        <f t="shared" si="10"/>
        <v>7429.7809051806707</v>
      </c>
      <c r="H66" s="31">
        <f t="shared" si="10"/>
        <v>5284.2373497018498</v>
      </c>
      <c r="I66" s="31">
        <f t="shared" si="10"/>
        <v>3764.9020572716558</v>
      </c>
      <c r="J66" s="31">
        <f t="shared" si="10"/>
        <v>2687.4770312751002</v>
      </c>
      <c r="K66" s="31">
        <f t="shared" si="10"/>
        <v>1922.3193298350814</v>
      </c>
      <c r="L66" s="31">
        <f t="shared" si="10"/>
        <v>1378.1135418598487</v>
      </c>
      <c r="M66" s="31">
        <f t="shared" si="10"/>
        <v>990.45321302130799</v>
      </c>
      <c r="N66" s="31">
        <f t="shared" si="10"/>
        <v>713.85080775639312</v>
      </c>
      <c r="O66" s="31">
        <f t="shared" si="10"/>
        <v>516.13915094703225</v>
      </c>
      <c r="P66" s="31">
        <f t="shared" si="10"/>
        <v>374.54254722692161</v>
      </c>
      <c r="Q66" s="31">
        <f t="shared" si="10"/>
        <v>272.91543110214383</v>
      </c>
      <c r="R66" s="31">
        <f t="shared" si="10"/>
        <v>199.79877197279023</v>
      </c>
      <c r="S66" s="31">
        <f t="shared" si="10"/>
        <v>147.05017660757102</v>
      </c>
      <c r="T66" s="31">
        <f t="shared" si="10"/>
        <v>108.87709376320981</v>
      </c>
      <c r="U66" s="32">
        <f t="shared" si="10"/>
        <v>81.153668622333015</v>
      </c>
      <c r="AC66" t="s">
        <v>45</v>
      </c>
      <c r="AD66">
        <v>3143.531033457788</v>
      </c>
      <c r="AE66">
        <v>29454.143712883444</v>
      </c>
      <c r="AF66">
        <v>116194.93384428107</v>
      </c>
      <c r="AG66">
        <v>0</v>
      </c>
    </row>
    <row r="67" spans="1:33" x14ac:dyDescent="0.25">
      <c r="A67" s="9" t="s">
        <v>28</v>
      </c>
      <c r="B67" s="31">
        <f t="shared" ref="B67:U67" si="11">+B56*B$42</f>
        <v>5080</v>
      </c>
      <c r="C67" s="31">
        <f t="shared" si="11"/>
        <v>3143.531033457788</v>
      </c>
      <c r="D67" s="31">
        <f t="shared" si="11"/>
        <v>2095.4372087761003</v>
      </c>
      <c r="E67" s="31">
        <f t="shared" si="11"/>
        <v>1465.6772228681832</v>
      </c>
      <c r="F67" s="31">
        <f t="shared" si="11"/>
        <v>1038.8636703098075</v>
      </c>
      <c r="G67" s="31">
        <f t="shared" si="11"/>
        <v>739.73533693842228</v>
      </c>
      <c r="H67" s="31">
        <f t="shared" si="11"/>
        <v>527.8220224210753</v>
      </c>
      <c r="I67" s="31">
        <f t="shared" si="11"/>
        <v>377.12387929045229</v>
      </c>
      <c r="J67" s="31">
        <f t="shared" si="11"/>
        <v>269.77724687889179</v>
      </c>
      <c r="K67" s="31">
        <f t="shared" si="11"/>
        <v>193.22891750228348</v>
      </c>
      <c r="L67" s="31">
        <f t="shared" si="11"/>
        <v>138.59235497654905</v>
      </c>
      <c r="M67" s="31">
        <f t="shared" si="11"/>
        <v>99.559647863566994</v>
      </c>
      <c r="N67" s="31">
        <f t="shared" si="11"/>
        <v>71.647435846574012</v>
      </c>
      <c r="O67" s="31">
        <f t="shared" si="11"/>
        <v>51.666407285514303</v>
      </c>
      <c r="P67" s="31">
        <f t="shared" si="11"/>
        <v>37.346162705212372</v>
      </c>
      <c r="Q67" s="31">
        <f t="shared" si="11"/>
        <v>27.069381169321833</v>
      </c>
      <c r="R67" s="31">
        <f t="shared" si="11"/>
        <v>19.683220048361019</v>
      </c>
      <c r="S67" s="31">
        <f t="shared" si="11"/>
        <v>14.365393845031562</v>
      </c>
      <c r="T67" s="31">
        <f t="shared" si="11"/>
        <v>10.529009622107932</v>
      </c>
      <c r="U67" s="32">
        <f t="shared" si="11"/>
        <v>7.7548979134788123</v>
      </c>
      <c r="AC67" t="s">
        <v>46</v>
      </c>
      <c r="AD67">
        <v>2095.4372087761003</v>
      </c>
      <c r="AE67">
        <v>20843.928613083193</v>
      </c>
      <c r="AF67">
        <v>83845.681836928619</v>
      </c>
      <c r="AG67">
        <v>0</v>
      </c>
    </row>
    <row r="68" spans="1:33" x14ac:dyDescent="0.25">
      <c r="A68" s="9" t="s">
        <v>29</v>
      </c>
      <c r="B68" s="31">
        <f t="shared" ref="B68:U68" si="12">+B57*B$42</f>
        <v>0</v>
      </c>
      <c r="C68" s="31">
        <f t="shared" si="12"/>
        <v>0</v>
      </c>
      <c r="D68" s="31">
        <f t="shared" si="12"/>
        <v>0</v>
      </c>
      <c r="E68" s="31">
        <f t="shared" si="12"/>
        <v>0</v>
      </c>
      <c r="F68" s="31">
        <f t="shared" si="12"/>
        <v>0</v>
      </c>
      <c r="G68" s="31">
        <f t="shared" si="12"/>
        <v>0</v>
      </c>
      <c r="H68" s="31">
        <f t="shared" si="12"/>
        <v>0</v>
      </c>
      <c r="I68" s="31">
        <f t="shared" si="12"/>
        <v>0</v>
      </c>
      <c r="J68" s="31">
        <f t="shared" si="12"/>
        <v>0</v>
      </c>
      <c r="K68" s="31">
        <f t="shared" si="12"/>
        <v>0</v>
      </c>
      <c r="L68" s="31">
        <f t="shared" si="12"/>
        <v>0</v>
      </c>
      <c r="M68" s="31">
        <f t="shared" si="12"/>
        <v>0</v>
      </c>
      <c r="N68" s="31">
        <f t="shared" si="12"/>
        <v>0</v>
      </c>
      <c r="O68" s="31">
        <f t="shared" si="12"/>
        <v>0</v>
      </c>
      <c r="P68" s="31">
        <f t="shared" si="12"/>
        <v>0</v>
      </c>
      <c r="Q68" s="31">
        <f t="shared" si="12"/>
        <v>0</v>
      </c>
      <c r="R68" s="31">
        <f t="shared" si="12"/>
        <v>0</v>
      </c>
      <c r="S68" s="31">
        <f t="shared" si="12"/>
        <v>0</v>
      </c>
      <c r="T68" s="31">
        <f t="shared" si="12"/>
        <v>0</v>
      </c>
      <c r="U68" s="32">
        <f t="shared" si="12"/>
        <v>0</v>
      </c>
      <c r="AC68" t="s">
        <v>47</v>
      </c>
      <c r="AD68">
        <v>1465.6772228681832</v>
      </c>
      <c r="AE68">
        <v>14759.225348838456</v>
      </c>
      <c r="AF68">
        <v>60454.759128341022</v>
      </c>
      <c r="AG68">
        <v>0</v>
      </c>
    </row>
    <row r="69" spans="1:33" x14ac:dyDescent="0.25">
      <c r="A69" s="9" t="s">
        <v>30</v>
      </c>
      <c r="B69" s="31">
        <f t="shared" ref="B69:U69" si="13">+B58*B$42</f>
        <v>0</v>
      </c>
      <c r="C69" s="31">
        <f t="shared" si="13"/>
        <v>0</v>
      </c>
      <c r="D69" s="31">
        <f t="shared" si="13"/>
        <v>0</v>
      </c>
      <c r="E69" s="31">
        <f t="shared" si="13"/>
        <v>0</v>
      </c>
      <c r="F69" s="31">
        <f t="shared" si="13"/>
        <v>0</v>
      </c>
      <c r="G69" s="31">
        <f t="shared" si="13"/>
        <v>0</v>
      </c>
      <c r="H69" s="31">
        <f t="shared" si="13"/>
        <v>0</v>
      </c>
      <c r="I69" s="31">
        <f t="shared" si="13"/>
        <v>0</v>
      </c>
      <c r="J69" s="31">
        <f t="shared" si="13"/>
        <v>0</v>
      </c>
      <c r="K69" s="31">
        <f t="shared" si="13"/>
        <v>0</v>
      </c>
      <c r="L69" s="31">
        <f t="shared" si="13"/>
        <v>0</v>
      </c>
      <c r="M69" s="31">
        <f t="shared" si="13"/>
        <v>0</v>
      </c>
      <c r="N69" s="31">
        <f t="shared" si="13"/>
        <v>0</v>
      </c>
      <c r="O69" s="31">
        <f t="shared" si="13"/>
        <v>0</v>
      </c>
      <c r="P69" s="31">
        <f t="shared" si="13"/>
        <v>0</v>
      </c>
      <c r="Q69" s="31">
        <f t="shared" si="13"/>
        <v>0</v>
      </c>
      <c r="R69" s="31">
        <f t="shared" si="13"/>
        <v>0</v>
      </c>
      <c r="S69" s="31">
        <f t="shared" si="13"/>
        <v>0</v>
      </c>
      <c r="T69" s="31">
        <f t="shared" si="13"/>
        <v>0</v>
      </c>
      <c r="U69" s="32">
        <f t="shared" si="13"/>
        <v>0</v>
      </c>
    </row>
    <row r="70" spans="1:33" ht="16.5" thickBot="1" x14ac:dyDescent="0.3">
      <c r="A70" s="10" t="s">
        <v>31</v>
      </c>
      <c r="B70" s="33">
        <f t="shared" ref="B70:U70" si="14">+B59*B$42</f>
        <v>0</v>
      </c>
      <c r="C70" s="33">
        <f t="shared" si="14"/>
        <v>0</v>
      </c>
      <c r="D70" s="33">
        <f t="shared" si="14"/>
        <v>0</v>
      </c>
      <c r="E70" s="33">
        <f t="shared" si="14"/>
        <v>0</v>
      </c>
      <c r="F70" s="33">
        <f t="shared" si="14"/>
        <v>0</v>
      </c>
      <c r="G70" s="33">
        <f t="shared" si="14"/>
        <v>0</v>
      </c>
      <c r="H70" s="33">
        <f t="shared" si="14"/>
        <v>0</v>
      </c>
      <c r="I70" s="33">
        <f t="shared" si="14"/>
        <v>0</v>
      </c>
      <c r="J70" s="33">
        <f t="shared" si="14"/>
        <v>0</v>
      </c>
      <c r="K70" s="33">
        <f t="shared" si="14"/>
        <v>0</v>
      </c>
      <c r="L70" s="33">
        <f t="shared" si="14"/>
        <v>0</v>
      </c>
      <c r="M70" s="33">
        <f t="shared" si="14"/>
        <v>0</v>
      </c>
      <c r="N70" s="33">
        <f t="shared" si="14"/>
        <v>0</v>
      </c>
      <c r="O70" s="33">
        <f t="shared" si="14"/>
        <v>0</v>
      </c>
      <c r="P70" s="33">
        <f t="shared" si="14"/>
        <v>0</v>
      </c>
      <c r="Q70" s="33">
        <f t="shared" si="14"/>
        <v>0</v>
      </c>
      <c r="R70" s="33">
        <f t="shared" si="14"/>
        <v>0</v>
      </c>
      <c r="S70" s="33">
        <f t="shared" si="14"/>
        <v>0</v>
      </c>
      <c r="T70" s="33">
        <f t="shared" si="14"/>
        <v>0</v>
      </c>
      <c r="U70" s="34">
        <f t="shared" si="14"/>
        <v>0</v>
      </c>
    </row>
    <row r="72" spans="1:33" x14ac:dyDescent="0.25">
      <c r="A72"/>
    </row>
    <row r="73" spans="1:33" x14ac:dyDescent="0.25">
      <c r="A73"/>
    </row>
    <row r="74" spans="1:33" x14ac:dyDescent="0.25">
      <c r="A74"/>
    </row>
    <row r="75" spans="1:33" x14ac:dyDescent="0.25">
      <c r="A75"/>
    </row>
    <row r="76" spans="1:33" x14ac:dyDescent="0.25">
      <c r="A76"/>
    </row>
    <row r="77" spans="1:33" x14ac:dyDescent="0.25">
      <c r="A77"/>
    </row>
    <row r="78" spans="1:33" x14ac:dyDescent="0.25">
      <c r="A78"/>
    </row>
    <row r="79" spans="1:33" x14ac:dyDescent="0.25">
      <c r="A79"/>
    </row>
    <row r="80" spans="1:33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</sheetData>
  <conditionalFormatting sqref="B3:H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J85"/>
  <sheetViews>
    <sheetView showGridLines="0" tabSelected="1" topLeftCell="A25" zoomScale="40" zoomScaleNormal="40" zoomScalePageLayoutView="50" workbookViewId="0">
      <selection activeCell="AB16" sqref="AB16"/>
    </sheetView>
  </sheetViews>
  <sheetFormatPr defaultColWidth="11" defaultRowHeight="15.75" x14ac:dyDescent="0.25"/>
  <cols>
    <col min="1" max="1" width="27.625" style="1" bestFit="1" customWidth="1"/>
  </cols>
  <sheetData>
    <row r="1" spans="1:36" x14ac:dyDescent="0.25">
      <c r="A1" s="1" t="s">
        <v>41</v>
      </c>
    </row>
    <row r="2" spans="1:36" x14ac:dyDescent="0.25">
      <c r="A2"/>
      <c r="B2" s="25" t="s">
        <v>33</v>
      </c>
      <c r="C2" s="25" t="s">
        <v>34</v>
      </c>
      <c r="D2" s="25" t="s">
        <v>35</v>
      </c>
      <c r="E2" s="25" t="s">
        <v>36</v>
      </c>
      <c r="F2" s="25" t="s">
        <v>37</v>
      </c>
      <c r="G2" s="25" t="s">
        <v>38</v>
      </c>
      <c r="H2" s="25" t="s">
        <v>39</v>
      </c>
    </row>
    <row r="3" spans="1:36" x14ac:dyDescent="0.25">
      <c r="A3" s="25" t="s">
        <v>33</v>
      </c>
      <c r="B3" s="22">
        <v>0</v>
      </c>
      <c r="C3" s="22">
        <v>0.52201257861635197</v>
      </c>
      <c r="D3" s="22">
        <v>0.27463312368972698</v>
      </c>
      <c r="E3" s="22">
        <v>5.0314465408804999E-2</v>
      </c>
      <c r="F3" s="22">
        <v>5.2410901467505197E-2</v>
      </c>
      <c r="G3" s="22">
        <v>0</v>
      </c>
      <c r="H3" s="22">
        <v>0</v>
      </c>
    </row>
    <row r="4" spans="1:36" x14ac:dyDescent="0.25">
      <c r="A4" s="25" t="s">
        <v>34</v>
      </c>
      <c r="B4" s="22">
        <v>0</v>
      </c>
      <c r="C4" s="22">
        <v>0.82219061166429597</v>
      </c>
      <c r="D4" s="22">
        <v>2.7027027027027001E-2</v>
      </c>
      <c r="E4" s="22">
        <v>1.5647226173542E-2</v>
      </c>
      <c r="F4" s="22">
        <v>2.4182076813655799E-2</v>
      </c>
      <c r="G4" s="22">
        <v>0</v>
      </c>
      <c r="H4" s="22">
        <v>0</v>
      </c>
    </row>
    <row r="5" spans="1:36" x14ac:dyDescent="0.25">
      <c r="A5" s="25" t="s">
        <v>35</v>
      </c>
      <c r="B5" s="22">
        <v>0</v>
      </c>
      <c r="C5" s="22">
        <v>9.6774193548387094E-2</v>
      </c>
      <c r="D5" s="22">
        <v>0.68433179723502302</v>
      </c>
      <c r="E5" s="22">
        <v>8.9861751152073704E-2</v>
      </c>
      <c r="F5" s="22">
        <v>5.99078341013825E-2</v>
      </c>
      <c r="G5" s="22">
        <v>0</v>
      </c>
      <c r="H5" s="22">
        <v>0</v>
      </c>
    </row>
    <row r="6" spans="1:36" x14ac:dyDescent="0.25">
      <c r="A6" s="25" t="s">
        <v>36</v>
      </c>
      <c r="B6" s="22">
        <v>0</v>
      </c>
      <c r="C6" s="22">
        <v>0.14285714285714299</v>
      </c>
      <c r="D6" s="22">
        <v>0.14285714285714299</v>
      </c>
      <c r="E6" s="22">
        <v>0.16326530612244899</v>
      </c>
      <c r="F6" s="22">
        <v>0.43877551020408201</v>
      </c>
      <c r="G6" s="22">
        <v>0</v>
      </c>
      <c r="H6" s="22">
        <v>0</v>
      </c>
    </row>
    <row r="7" spans="1:36" x14ac:dyDescent="0.25">
      <c r="A7" s="25" t="s">
        <v>37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0.92957746478873204</v>
      </c>
      <c r="H7" s="22">
        <v>0</v>
      </c>
    </row>
    <row r="8" spans="1:36" x14ac:dyDescent="0.25">
      <c r="A8" s="25" t="s">
        <v>38</v>
      </c>
      <c r="B8" s="22">
        <v>0</v>
      </c>
      <c r="C8" s="22">
        <v>3.1746031746031703E-2</v>
      </c>
      <c r="D8" s="22">
        <v>0</v>
      </c>
      <c r="E8" s="22">
        <v>0</v>
      </c>
      <c r="F8" s="22">
        <v>0</v>
      </c>
      <c r="G8" s="22">
        <v>0</v>
      </c>
      <c r="H8" s="22">
        <v>0.93650793650793696</v>
      </c>
    </row>
    <row r="9" spans="1:36" x14ac:dyDescent="0.25">
      <c r="A9" s="25" t="s">
        <v>39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36" x14ac:dyDescent="0.25">
      <c r="A10"/>
    </row>
    <row r="12" spans="1:36" ht="16.5" thickBot="1" x14ac:dyDescent="0.3">
      <c r="A12" s="7" t="s">
        <v>32</v>
      </c>
    </row>
    <row r="13" spans="1:36" ht="16.5" thickBot="1" x14ac:dyDescent="0.3">
      <c r="A13" s="8" t="s">
        <v>8</v>
      </c>
      <c r="B13" s="5">
        <v>0</v>
      </c>
      <c r="C13" s="5">
        <v>1</v>
      </c>
      <c r="D13" s="5">
        <v>2</v>
      </c>
      <c r="E13" s="5">
        <v>3</v>
      </c>
      <c r="F13" s="5">
        <v>4</v>
      </c>
      <c r="G13" s="5">
        <v>5</v>
      </c>
      <c r="H13" s="5">
        <v>6</v>
      </c>
      <c r="I13" s="5">
        <v>7</v>
      </c>
      <c r="J13" s="5">
        <v>8</v>
      </c>
      <c r="K13" s="5">
        <v>9</v>
      </c>
      <c r="L13" s="5">
        <v>10</v>
      </c>
      <c r="M13" s="5">
        <v>11</v>
      </c>
      <c r="N13" s="5">
        <v>12</v>
      </c>
      <c r="O13" s="5">
        <v>13</v>
      </c>
      <c r="P13" s="5">
        <v>14</v>
      </c>
      <c r="Q13" s="5">
        <v>15</v>
      </c>
      <c r="R13" s="5">
        <v>16</v>
      </c>
      <c r="S13" s="5">
        <v>17</v>
      </c>
      <c r="T13" s="5">
        <v>18</v>
      </c>
      <c r="U13" s="6">
        <v>19</v>
      </c>
      <c r="AD13" t="s">
        <v>39</v>
      </c>
      <c r="AE13" t="s">
        <v>38</v>
      </c>
      <c r="AF13" t="s">
        <v>37</v>
      </c>
      <c r="AG13" t="s">
        <v>36</v>
      </c>
      <c r="AH13" t="s">
        <v>35</v>
      </c>
      <c r="AI13" t="s">
        <v>34</v>
      </c>
      <c r="AJ13" t="s">
        <v>33</v>
      </c>
    </row>
    <row r="14" spans="1:36" x14ac:dyDescent="0.25">
      <c r="A14" s="9" t="s">
        <v>33</v>
      </c>
      <c r="B14" s="12">
        <v>771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3">
        <v>0</v>
      </c>
      <c r="AC14" t="s">
        <v>44</v>
      </c>
      <c r="AD14" s="35">
        <v>59</v>
      </c>
      <c r="AE14" s="35">
        <v>66</v>
      </c>
      <c r="AF14" s="35">
        <v>111</v>
      </c>
      <c r="AG14" s="35">
        <v>173</v>
      </c>
      <c r="AH14" s="35">
        <v>611</v>
      </c>
      <c r="AI14" s="35">
        <v>1128</v>
      </c>
      <c r="AJ14" s="35">
        <v>771</v>
      </c>
    </row>
    <row r="15" spans="1:36" x14ac:dyDescent="0.25">
      <c r="A15" s="9" t="s">
        <v>34</v>
      </c>
      <c r="B15" s="12">
        <v>1128</v>
      </c>
      <c r="C15" s="12">
        <v>1415.8412641381201</v>
      </c>
      <c r="D15" s="12">
        <v>1253.6059609788999</v>
      </c>
      <c r="E15" s="12">
        <v>1102.2381465244</v>
      </c>
      <c r="F15" s="12">
        <v>961.98449287130597</v>
      </c>
      <c r="G15" s="12">
        <v>835.01725598351004</v>
      </c>
      <c r="H15" s="12">
        <v>721.81146690458195</v>
      </c>
      <c r="I15" s="12">
        <v>621.95551240140503</v>
      </c>
      <c r="J15" s="12">
        <v>534.57352544123</v>
      </c>
      <c r="K15" s="12">
        <v>458.56606977431397</v>
      </c>
      <c r="L15" s="12">
        <v>392.756622697772</v>
      </c>
      <c r="M15" s="12">
        <v>335.97972185356099</v>
      </c>
      <c r="N15" s="12">
        <v>287.131517762248</v>
      </c>
      <c r="O15" s="12">
        <v>245.196176269029</v>
      </c>
      <c r="P15" s="12">
        <v>209.25702704817201</v>
      </c>
      <c r="Q15" s="12">
        <v>178.49833557707299</v>
      </c>
      <c r="R15" s="12">
        <v>152.20155157407299</v>
      </c>
      <c r="S15" s="12">
        <v>129.73853064891301</v>
      </c>
      <c r="T15" s="12">
        <v>110.563320953146</v>
      </c>
      <c r="U15" s="13">
        <v>94.203506245447699</v>
      </c>
      <c r="AC15" t="s">
        <v>45</v>
      </c>
      <c r="AD15" s="35">
        <v>120.80952380952399</v>
      </c>
      <c r="AE15" s="35">
        <v>103.183098591549</v>
      </c>
      <c r="AF15" s="35">
        <v>180.19803757850099</v>
      </c>
      <c r="AG15" s="35">
        <v>139.592951867045</v>
      </c>
      <c r="AH15" s="35">
        <v>685.06963867615104</v>
      </c>
      <c r="AI15" s="35">
        <v>1415.8412641381201</v>
      </c>
      <c r="AJ15" s="35">
        <v>0</v>
      </c>
    </row>
    <row r="16" spans="1:36" x14ac:dyDescent="0.25">
      <c r="A16" s="9" t="s">
        <v>35</v>
      </c>
      <c r="B16" s="12">
        <v>611</v>
      </c>
      <c r="C16" s="12">
        <v>685.06963867615104</v>
      </c>
      <c r="D16" s="12">
        <v>527.02276744495998</v>
      </c>
      <c r="E16" s="12">
        <v>409.75485580335697</v>
      </c>
      <c r="F16" s="12">
        <v>322.25041383663</v>
      </c>
      <c r="G16" s="12">
        <v>256.217482551621</v>
      </c>
      <c r="H16" s="12">
        <v>205.775318598735</v>
      </c>
      <c r="I16" s="12">
        <v>166.76752394063899</v>
      </c>
      <c r="J16" s="12">
        <v>136.240536857862</v>
      </c>
      <c r="K16" s="12">
        <v>112.07917832852399</v>
      </c>
      <c r="L16" s="12">
        <v>92.754899684685199</v>
      </c>
      <c r="M16" s="12">
        <v>77.151873924989303</v>
      </c>
      <c r="N16" s="12">
        <v>64.446550481686799</v>
      </c>
      <c r="O16" s="12">
        <v>54.023938429555997</v>
      </c>
      <c r="P16" s="12">
        <v>45.4191627488824</v>
      </c>
      <c r="Q16" s="12">
        <v>38.276450183427002</v>
      </c>
      <c r="R16" s="12">
        <v>32.320168906075203</v>
      </c>
      <c r="S16" s="12">
        <v>27.334232470362</v>
      </c>
      <c r="T16" s="12">
        <v>23.147331523552399</v>
      </c>
      <c r="U16" s="13">
        <v>19.622245773548801</v>
      </c>
      <c r="AC16" t="s">
        <v>46</v>
      </c>
      <c r="AD16" s="35">
        <v>217.44131455399099</v>
      </c>
      <c r="AE16" s="35">
        <v>167.508034932128</v>
      </c>
      <c r="AF16" s="35">
        <v>136.52898914339301</v>
      </c>
      <c r="AG16" s="35">
        <v>106.50623189746899</v>
      </c>
      <c r="AH16" s="35">
        <v>527.02276744495998</v>
      </c>
      <c r="AI16" s="35">
        <v>1253.6059609788999</v>
      </c>
      <c r="AJ16" s="35">
        <v>0</v>
      </c>
    </row>
    <row r="17" spans="1:36" x14ac:dyDescent="0.25">
      <c r="A17" s="9" t="s">
        <v>36</v>
      </c>
      <c r="B17" s="12">
        <v>173</v>
      </c>
      <c r="C17" s="12">
        <v>139.592951867045</v>
      </c>
      <c r="D17" s="12">
        <v>106.50623189746899</v>
      </c>
      <c r="E17" s="12">
        <v>84.363417338242499</v>
      </c>
      <c r="F17" s="12">
        <v>67.841877618592207</v>
      </c>
      <c r="G17" s="12">
        <v>55.086600349558601</v>
      </c>
      <c r="H17" s="12">
        <v>45.083586190364599</v>
      </c>
      <c r="I17" s="12">
        <v>37.146263250937999</v>
      </c>
      <c r="J17" s="12">
        <v>30.782596349996702</v>
      </c>
      <c r="K17" s="12">
        <v>25.633136095238701</v>
      </c>
      <c r="L17" s="12">
        <v>21.431920053025099</v>
      </c>
      <c r="M17" s="12">
        <v>17.9797584083583</v>
      </c>
      <c r="N17" s="12">
        <v>15.1256239536782</v>
      </c>
      <c r="O17" s="12">
        <v>12.7535813070635</v>
      </c>
      <c r="P17" s="12">
        <v>10.7735430946361</v>
      </c>
      <c r="Q17" s="12">
        <v>9.1146833424704994</v>
      </c>
      <c r="R17" s="12">
        <v>7.7207042358607501</v>
      </c>
      <c r="S17" s="12">
        <v>6.5464022174229504</v>
      </c>
      <c r="T17" s="12">
        <v>5.5551504906993996</v>
      </c>
      <c r="U17" s="13">
        <v>4.7170323800761098</v>
      </c>
      <c r="AC17" t="s">
        <v>47</v>
      </c>
      <c r="AD17" s="35">
        <v>374.31391869677702</v>
      </c>
      <c r="AE17" s="35">
        <v>126.914271598083</v>
      </c>
      <c r="AF17" s="35">
        <v>108.61991440291899</v>
      </c>
      <c r="AG17" s="35">
        <v>84.363417338242499</v>
      </c>
      <c r="AH17" s="35">
        <v>409.75485580335697</v>
      </c>
      <c r="AI17" s="35">
        <v>1102.2381465244</v>
      </c>
      <c r="AJ17" s="35">
        <v>0</v>
      </c>
    </row>
    <row r="18" spans="1:36" x14ac:dyDescent="0.25">
      <c r="A18" s="9" t="s">
        <v>37</v>
      </c>
      <c r="B18" s="12">
        <v>111</v>
      </c>
      <c r="C18" s="12">
        <v>180.19803757850099</v>
      </c>
      <c r="D18" s="12">
        <v>136.52898914339301</v>
      </c>
      <c r="E18" s="12">
        <v>108.61991440291899</v>
      </c>
      <c r="F18" s="12">
        <v>88.218534935045199</v>
      </c>
      <c r="G18" s="12">
        <v>72.335461696686906</v>
      </c>
      <c r="H18" s="12">
        <v>59.712537037283603</v>
      </c>
      <c r="I18" s="12">
        <v>49.564027518943199</v>
      </c>
      <c r="J18" s="12">
        <v>41.329727743406998</v>
      </c>
      <c r="K18" s="12">
        <v>34.595622953606799</v>
      </c>
      <c r="L18" s="12">
        <v>29.050693113262199</v>
      </c>
      <c r="M18" s="12">
        <v>24.458217617469199</v>
      </c>
      <c r="N18" s="12">
        <v>20.635766774376101</v>
      </c>
      <c r="O18" s="12">
        <v>17.441043040241802</v>
      </c>
      <c r="P18" s="12">
        <v>14.7617690548295</v>
      </c>
      <c r="Q18" s="12">
        <v>12.5084000369145</v>
      </c>
      <c r="R18" s="12">
        <v>10.6088195235542</v>
      </c>
      <c r="S18" s="12">
        <v>9.0044368685002603</v>
      </c>
      <c r="T18" s="12">
        <v>7.6472827509168102</v>
      </c>
      <c r="U18" s="13">
        <v>6.4978212076816</v>
      </c>
    </row>
    <row r="19" spans="1:36" x14ac:dyDescent="0.25">
      <c r="A19" s="9" t="s">
        <v>38</v>
      </c>
      <c r="B19" s="12">
        <v>66</v>
      </c>
      <c r="C19" s="12">
        <v>103.183098591549</v>
      </c>
      <c r="D19" s="12">
        <v>167.508034932128</v>
      </c>
      <c r="E19" s="12">
        <v>126.914271598083</v>
      </c>
      <c r="F19" s="12">
        <v>100.970624656235</v>
      </c>
      <c r="G19" s="12">
        <v>82.005962052295601</v>
      </c>
      <c r="H19" s="12">
        <v>67.241415098328702</v>
      </c>
      <c r="I19" s="12">
        <v>55.507428795221301</v>
      </c>
      <c r="J19" s="12">
        <v>46.073603045778199</v>
      </c>
      <c r="K19" s="12">
        <v>38.419183536124798</v>
      </c>
      <c r="L19" s="12">
        <v>32.159311478000703</v>
      </c>
      <c r="M19" s="12">
        <v>27.0048696545817</v>
      </c>
      <c r="N19" s="12">
        <v>22.7358079260982</v>
      </c>
      <c r="O19" s="12">
        <v>19.182543762096099</v>
      </c>
      <c r="P19" s="12">
        <v>16.212800572619098</v>
      </c>
      <c r="Q19" s="12">
        <v>13.7222078537852</v>
      </c>
      <c r="R19" s="12">
        <v>11.6275267948783</v>
      </c>
      <c r="S19" s="12">
        <v>9.86171955710671</v>
      </c>
      <c r="T19" s="12">
        <v>8.3703215960706601</v>
      </c>
      <c r="U19" s="13">
        <v>7.1087417121198504</v>
      </c>
    </row>
    <row r="20" spans="1:36" ht="16.5" thickBot="1" x14ac:dyDescent="0.3">
      <c r="A20" s="10" t="s">
        <v>39</v>
      </c>
      <c r="B20" s="14">
        <v>59</v>
      </c>
      <c r="C20" s="14">
        <v>120.80952380952399</v>
      </c>
      <c r="D20" s="14">
        <v>217.44131455399099</v>
      </c>
      <c r="E20" s="14">
        <v>374.31391869677702</v>
      </c>
      <c r="F20" s="14">
        <v>493.17014130450599</v>
      </c>
      <c r="G20" s="14">
        <v>587.729932649234</v>
      </c>
      <c r="H20" s="14">
        <v>664.52916695217698</v>
      </c>
      <c r="I20" s="14">
        <v>727.50128585378604</v>
      </c>
      <c r="J20" s="14">
        <v>779.48443345566</v>
      </c>
      <c r="K20" s="14">
        <v>822.63272837154796</v>
      </c>
      <c r="L20" s="14">
        <v>858.61259866728403</v>
      </c>
      <c r="M20" s="14">
        <v>888.73004909906194</v>
      </c>
      <c r="N20" s="14">
        <v>914.02032385493999</v>
      </c>
      <c r="O20" s="14">
        <v>935.31258842065097</v>
      </c>
      <c r="P20" s="14">
        <v>953.27719289626498</v>
      </c>
      <c r="Q20" s="14">
        <v>968.46060930554302</v>
      </c>
      <c r="R20" s="14">
        <v>981.31156586702502</v>
      </c>
      <c r="S20" s="14">
        <v>992.20083699238705</v>
      </c>
      <c r="T20" s="14">
        <v>1001.43641562523</v>
      </c>
      <c r="U20" s="15">
        <v>1009.27528823108</v>
      </c>
    </row>
    <row r="22" spans="1:36" ht="16.5" thickBot="1" x14ac:dyDescent="0.3">
      <c r="A22" s="7" t="s">
        <v>11</v>
      </c>
    </row>
    <row r="23" spans="1:36" s="1" customFormat="1" ht="16.5" thickBot="1" x14ac:dyDescent="0.3">
      <c r="A23" s="8" t="s">
        <v>8</v>
      </c>
      <c r="B23" s="5">
        <v>0</v>
      </c>
      <c r="C23" s="5">
        <v>1</v>
      </c>
      <c r="D23" s="5">
        <v>2</v>
      </c>
      <c r="E23" s="5">
        <v>3</v>
      </c>
      <c r="F23" s="5">
        <v>4</v>
      </c>
      <c r="G23" s="5">
        <v>5</v>
      </c>
      <c r="H23" s="5">
        <v>6</v>
      </c>
      <c r="I23" s="5">
        <v>7</v>
      </c>
      <c r="J23" s="5">
        <v>8</v>
      </c>
      <c r="K23" s="5">
        <v>9</v>
      </c>
      <c r="L23" s="5">
        <v>10</v>
      </c>
      <c r="M23" s="5">
        <v>11</v>
      </c>
      <c r="N23" s="5">
        <v>12</v>
      </c>
      <c r="O23" s="5">
        <v>13</v>
      </c>
      <c r="P23" s="5">
        <v>14</v>
      </c>
      <c r="Q23" s="5">
        <v>15</v>
      </c>
      <c r="R23" s="5">
        <v>16</v>
      </c>
      <c r="S23" s="5">
        <v>17</v>
      </c>
      <c r="T23" s="5">
        <v>18</v>
      </c>
      <c r="U23" s="6">
        <v>19</v>
      </c>
    </row>
    <row r="24" spans="1:36" x14ac:dyDescent="0.25">
      <c r="A24" s="9" t="s">
        <v>33</v>
      </c>
      <c r="B24" s="12">
        <v>10023</v>
      </c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3">
        <v>0</v>
      </c>
    </row>
    <row r="25" spans="1:36" x14ac:dyDescent="0.25">
      <c r="A25" s="9" t="s">
        <v>34</v>
      </c>
      <c r="B25" s="12">
        <v>19176</v>
      </c>
      <c r="C25" s="12">
        <v>24069.301490348102</v>
      </c>
      <c r="D25" s="12">
        <v>21311.301336641402</v>
      </c>
      <c r="E25" s="12">
        <v>18738.0484909148</v>
      </c>
      <c r="F25" s="12">
        <v>16353.7363788122</v>
      </c>
      <c r="G25" s="12">
        <v>14195.2933517197</v>
      </c>
      <c r="H25" s="12">
        <v>12270.794937377899</v>
      </c>
      <c r="I25" s="12">
        <v>10573.243710823899</v>
      </c>
      <c r="J25" s="12">
        <v>9087.7499325009194</v>
      </c>
      <c r="K25" s="12">
        <v>7795.6231861633296</v>
      </c>
      <c r="L25" s="12">
        <v>6676.8625858621299</v>
      </c>
      <c r="M25" s="12">
        <v>5711.6552715105299</v>
      </c>
      <c r="N25" s="12">
        <v>4881.2358019582198</v>
      </c>
      <c r="O25" s="12">
        <v>4168.3349965734897</v>
      </c>
      <c r="P25" s="12">
        <v>3557.3694598189199</v>
      </c>
      <c r="Q25" s="12">
        <v>3034.4717048102402</v>
      </c>
      <c r="R25" s="12">
        <v>2587.4263767592502</v>
      </c>
      <c r="S25" s="12">
        <v>2205.55502103153</v>
      </c>
      <c r="T25" s="12">
        <v>1879.5764562034799</v>
      </c>
      <c r="U25" s="13">
        <v>1601.4596061726099</v>
      </c>
    </row>
    <row r="26" spans="1:36" x14ac:dyDescent="0.25">
      <c r="A26" s="9" t="s">
        <v>35</v>
      </c>
      <c r="B26" s="12">
        <v>4277</v>
      </c>
      <c r="C26" s="12">
        <v>4795.48747073306</v>
      </c>
      <c r="D26" s="12">
        <v>3689.1593721147201</v>
      </c>
      <c r="E26" s="12">
        <v>2868.2839906234999</v>
      </c>
      <c r="F26" s="12">
        <v>2255.7528968564102</v>
      </c>
      <c r="G26" s="12">
        <v>1793.5223778613499</v>
      </c>
      <c r="H26" s="12">
        <v>1440.4272301911501</v>
      </c>
      <c r="I26" s="12">
        <v>1167.37266758448</v>
      </c>
      <c r="J26" s="12">
        <v>953.68375800503395</v>
      </c>
      <c r="K26" s="12">
        <v>784.55424829966501</v>
      </c>
      <c r="L26" s="12">
        <v>649.28429779279702</v>
      </c>
      <c r="M26" s="12">
        <v>540.06311747492498</v>
      </c>
      <c r="N26" s="12">
        <v>451.12585337180798</v>
      </c>
      <c r="O26" s="12">
        <v>378.16756900689199</v>
      </c>
      <c r="P26" s="12">
        <v>317.93413924217703</v>
      </c>
      <c r="Q26" s="12">
        <v>267.935151283989</v>
      </c>
      <c r="R26" s="12">
        <v>226.241182342527</v>
      </c>
      <c r="S26" s="12">
        <v>191.339627292534</v>
      </c>
      <c r="T26" s="12">
        <v>162.031320664867</v>
      </c>
      <c r="U26" s="13">
        <v>137.35572041484201</v>
      </c>
    </row>
    <row r="27" spans="1:36" x14ac:dyDescent="0.25">
      <c r="A27" s="9" t="s">
        <v>36</v>
      </c>
      <c r="B27" s="12">
        <v>1384</v>
      </c>
      <c r="C27" s="12">
        <v>1116.74361493636</v>
      </c>
      <c r="D27" s="12">
        <v>852.04985517975604</v>
      </c>
      <c r="E27" s="12">
        <v>674.90733870593999</v>
      </c>
      <c r="F27" s="12">
        <v>542.735020948738</v>
      </c>
      <c r="G27" s="12">
        <v>440.69280279646898</v>
      </c>
      <c r="H27" s="12">
        <v>360.66868952291702</v>
      </c>
      <c r="I27" s="12">
        <v>297.17010600750399</v>
      </c>
      <c r="J27" s="12">
        <v>246.26077079997299</v>
      </c>
      <c r="K27" s="12">
        <v>205.06508876191</v>
      </c>
      <c r="L27" s="12">
        <v>171.45536042420099</v>
      </c>
      <c r="M27" s="12">
        <v>143.83806726686601</v>
      </c>
      <c r="N27" s="12">
        <v>121.004991629426</v>
      </c>
      <c r="O27" s="12">
        <v>102.028650456508</v>
      </c>
      <c r="P27" s="12">
        <v>86.188344757089098</v>
      </c>
      <c r="Q27" s="12">
        <v>72.917466739763995</v>
      </c>
      <c r="R27" s="12">
        <v>61.765633886886</v>
      </c>
      <c r="S27" s="12">
        <v>52.371217739383603</v>
      </c>
      <c r="T27" s="12">
        <v>44.441203925595197</v>
      </c>
      <c r="U27" s="13">
        <v>37.7362590406089</v>
      </c>
    </row>
    <row r="28" spans="1:36" x14ac:dyDescent="0.25">
      <c r="A28" s="9" t="s">
        <v>37</v>
      </c>
      <c r="B28" s="12">
        <v>0</v>
      </c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3">
        <v>0</v>
      </c>
    </row>
    <row r="29" spans="1:36" x14ac:dyDescent="0.25">
      <c r="A29" s="9" t="s">
        <v>38</v>
      </c>
      <c r="B29" s="12">
        <v>0</v>
      </c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3">
        <v>0</v>
      </c>
    </row>
    <row r="30" spans="1:36" ht="16.5" thickBot="1" x14ac:dyDescent="0.3">
      <c r="A30" s="10" t="s">
        <v>39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5">
        <v>0</v>
      </c>
    </row>
    <row r="32" spans="1:36" ht="16.5" thickBot="1" x14ac:dyDescent="0.3">
      <c r="A32" s="7" t="s">
        <v>12</v>
      </c>
    </row>
    <row r="33" spans="1:21" s="1" customFormat="1" ht="16.5" thickBot="1" x14ac:dyDescent="0.3">
      <c r="A33" s="8" t="s">
        <v>8</v>
      </c>
      <c r="B33" s="5">
        <v>0</v>
      </c>
      <c r="C33" s="5">
        <v>1</v>
      </c>
      <c r="D33" s="5">
        <v>2</v>
      </c>
      <c r="E33" s="5">
        <v>3</v>
      </c>
      <c r="F33" s="5">
        <v>4</v>
      </c>
      <c r="G33" s="5">
        <v>5</v>
      </c>
      <c r="H33" s="5">
        <v>6</v>
      </c>
      <c r="I33" s="5">
        <v>7</v>
      </c>
      <c r="J33" s="5">
        <v>8</v>
      </c>
      <c r="K33" s="5">
        <v>9</v>
      </c>
      <c r="L33" s="5">
        <v>10</v>
      </c>
      <c r="M33" s="5">
        <v>11</v>
      </c>
      <c r="N33" s="5">
        <v>12</v>
      </c>
      <c r="O33" s="5">
        <v>13</v>
      </c>
      <c r="P33" s="5">
        <v>14</v>
      </c>
      <c r="Q33" s="5">
        <v>15</v>
      </c>
      <c r="R33" s="5">
        <v>16</v>
      </c>
      <c r="S33" s="5">
        <v>17</v>
      </c>
      <c r="T33" s="5">
        <v>18</v>
      </c>
      <c r="U33" s="6">
        <v>19</v>
      </c>
    </row>
    <row r="34" spans="1:21" ht="16.5" thickBot="1" x14ac:dyDescent="0.3">
      <c r="A34" s="10" t="s">
        <v>40</v>
      </c>
      <c r="B34">
        <v>34860</v>
      </c>
      <c r="C34">
        <v>29981.5325760175</v>
      </c>
      <c r="D34">
        <v>25852.510563935801</v>
      </c>
      <c r="E34">
        <v>22281.239820244198</v>
      </c>
      <c r="F34">
        <v>19152.2242966173</v>
      </c>
      <c r="G34">
        <v>16429.508532377498</v>
      </c>
      <c r="H34">
        <v>14071.890857091999</v>
      </c>
      <c r="I34">
        <v>12037.786484415899</v>
      </c>
      <c r="J34">
        <v>10287.6944613059</v>
      </c>
      <c r="K34">
        <v>8785.2425232249097</v>
      </c>
      <c r="L34">
        <v>7497.6022440791303</v>
      </c>
      <c r="M34">
        <v>6395.5564562523195</v>
      </c>
      <c r="N34">
        <v>5453.36664695945</v>
      </c>
      <c r="O34">
        <v>4648.5312160368903</v>
      </c>
      <c r="P34">
        <v>3961.4919438181901</v>
      </c>
      <c r="Q34">
        <v>3375.3243228339902</v>
      </c>
      <c r="R34">
        <v>2875.4331929886598</v>
      </c>
      <c r="S34">
        <v>2449.2658660634502</v>
      </c>
      <c r="T34">
        <v>2086.0489807939398</v>
      </c>
      <c r="U34">
        <v>1776.5515856280599</v>
      </c>
    </row>
    <row r="36" spans="1:21" ht="16.5" thickBot="1" x14ac:dyDescent="0.3">
      <c r="A36" s="7" t="s">
        <v>13</v>
      </c>
    </row>
    <row r="37" spans="1:21" x14ac:dyDescent="0.25">
      <c r="A37" s="11" t="s">
        <v>8</v>
      </c>
      <c r="B37" s="2">
        <v>0</v>
      </c>
      <c r="C37" s="2">
        <v>1</v>
      </c>
      <c r="D37" s="2">
        <v>2</v>
      </c>
      <c r="E37" s="2">
        <v>3</v>
      </c>
      <c r="F37" s="2">
        <v>4</v>
      </c>
      <c r="G37" s="2">
        <v>5</v>
      </c>
      <c r="H37" s="2">
        <v>6</v>
      </c>
      <c r="I37" s="2">
        <v>7</v>
      </c>
      <c r="J37" s="2">
        <v>8</v>
      </c>
      <c r="K37" s="2">
        <v>9</v>
      </c>
      <c r="L37" s="2">
        <v>10</v>
      </c>
      <c r="M37" s="2">
        <v>11</v>
      </c>
      <c r="N37" s="2">
        <v>12</v>
      </c>
      <c r="O37" s="2">
        <v>13</v>
      </c>
      <c r="P37" s="2">
        <v>14</v>
      </c>
      <c r="Q37" s="2">
        <v>15</v>
      </c>
      <c r="R37" s="2">
        <v>16</v>
      </c>
      <c r="S37" s="2">
        <v>17</v>
      </c>
      <c r="T37" s="2">
        <v>18</v>
      </c>
      <c r="U37" s="3">
        <v>19</v>
      </c>
    </row>
    <row r="38" spans="1:21" ht="16.5" thickBot="1" x14ac:dyDescent="0.3">
      <c r="A38" s="10" t="s">
        <v>40</v>
      </c>
      <c r="B38">
        <v>34860</v>
      </c>
      <c r="C38">
        <v>64841.532576017496</v>
      </c>
      <c r="D38">
        <v>90694.043139953297</v>
      </c>
      <c r="E38">
        <v>112975.282960198</v>
      </c>
      <c r="F38">
        <v>132127.50725681501</v>
      </c>
      <c r="G38">
        <v>148557.015789192</v>
      </c>
      <c r="H38">
        <v>162628.90664628401</v>
      </c>
      <c r="I38">
        <v>174666.6931307</v>
      </c>
      <c r="J38">
        <v>184954.38759200601</v>
      </c>
      <c r="K38">
        <v>193739.630115231</v>
      </c>
      <c r="L38">
        <v>201237.23235931</v>
      </c>
      <c r="M38">
        <v>207632.788815562</v>
      </c>
      <c r="N38">
        <v>213086.155462522</v>
      </c>
      <c r="O38">
        <v>217734.686678559</v>
      </c>
      <c r="P38">
        <v>221696.17862237699</v>
      </c>
      <c r="Q38">
        <v>225071.50294521099</v>
      </c>
      <c r="R38">
        <v>227946.93613819999</v>
      </c>
      <c r="S38">
        <v>230396.202004263</v>
      </c>
      <c r="T38">
        <v>232482.25098505701</v>
      </c>
      <c r="U38">
        <v>234258.80257068499</v>
      </c>
    </row>
    <row r="39" spans="1:21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</row>
    <row r="40" spans="1:21" ht="16.5" thickBot="1" x14ac:dyDescent="0.3">
      <c r="A40" s="7" t="s">
        <v>14</v>
      </c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spans="1:21" s="4" customFormat="1" ht="16.5" thickBot="1" x14ac:dyDescent="0.3">
      <c r="A41" s="8" t="s">
        <v>8</v>
      </c>
      <c r="B41" s="17">
        <v>0</v>
      </c>
      <c r="C41" s="17">
        <v>1</v>
      </c>
      <c r="D41" s="17">
        <v>2</v>
      </c>
      <c r="E41" s="17">
        <v>3</v>
      </c>
      <c r="F41" s="17">
        <v>4</v>
      </c>
      <c r="G41" s="17">
        <v>5</v>
      </c>
      <c r="H41" s="17">
        <v>6</v>
      </c>
      <c r="I41" s="17">
        <v>7</v>
      </c>
      <c r="J41" s="17">
        <v>8</v>
      </c>
      <c r="K41" s="17">
        <v>9</v>
      </c>
      <c r="L41" s="17">
        <v>10</v>
      </c>
      <c r="M41" s="17">
        <v>11</v>
      </c>
      <c r="N41" s="17">
        <v>12</v>
      </c>
      <c r="O41" s="17">
        <v>13</v>
      </c>
      <c r="P41" s="17">
        <v>14</v>
      </c>
      <c r="Q41" s="17">
        <v>15</v>
      </c>
      <c r="R41" s="17">
        <v>16</v>
      </c>
      <c r="S41" s="17">
        <v>17</v>
      </c>
      <c r="T41" s="17">
        <v>18</v>
      </c>
      <c r="U41" s="18">
        <v>19</v>
      </c>
    </row>
    <row r="42" spans="1:21" ht="16.5" thickBot="1" x14ac:dyDescent="0.3">
      <c r="A42" s="10" t="s">
        <v>40</v>
      </c>
      <c r="B42">
        <v>34860</v>
      </c>
      <c r="C42">
        <v>26070.897892189099</v>
      </c>
      <c r="D42">
        <v>19548.2121466434</v>
      </c>
      <c r="E42">
        <v>14650.2768605206</v>
      </c>
      <c r="F42">
        <v>10950.3464019167</v>
      </c>
      <c r="G42">
        <v>8168.3694146828302</v>
      </c>
      <c r="H42">
        <v>6083.6667441763802</v>
      </c>
      <c r="I42">
        <v>4525.4498181775098</v>
      </c>
      <c r="J42">
        <v>3363.0655681882999</v>
      </c>
      <c r="K42">
        <v>2497.3142300095701</v>
      </c>
      <c r="L42">
        <v>1853.29260732134</v>
      </c>
      <c r="M42">
        <v>1374.6815157604599</v>
      </c>
      <c r="N42">
        <v>1019.27321890621</v>
      </c>
      <c r="O42">
        <v>755.51628012453205</v>
      </c>
      <c r="P42">
        <v>559.87234004271704</v>
      </c>
      <c r="Q42">
        <v>414.80874505573399</v>
      </c>
      <c r="R42">
        <v>307.28250608232901</v>
      </c>
      <c r="S42">
        <v>227.60020245056299</v>
      </c>
      <c r="T42">
        <v>168.563435921945</v>
      </c>
      <c r="U42">
        <v>124.82996704928</v>
      </c>
    </row>
    <row r="43" spans="1:2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</row>
    <row r="44" spans="1:21" ht="16.5" thickBot="1" x14ac:dyDescent="0.3">
      <c r="A44" s="7" t="s">
        <v>15</v>
      </c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16.5" thickBot="1" x14ac:dyDescent="0.3">
      <c r="A45" s="8" t="s">
        <v>8</v>
      </c>
      <c r="B45" s="17">
        <v>0</v>
      </c>
      <c r="C45" s="17">
        <v>1</v>
      </c>
      <c r="D45" s="17">
        <v>2</v>
      </c>
      <c r="E45" s="17">
        <v>3</v>
      </c>
      <c r="F45" s="17">
        <v>4</v>
      </c>
      <c r="G45" s="17">
        <v>5</v>
      </c>
      <c r="H45" s="17">
        <v>6</v>
      </c>
      <c r="I45" s="17">
        <v>7</v>
      </c>
      <c r="J45" s="17">
        <v>8</v>
      </c>
      <c r="K45" s="17">
        <v>9</v>
      </c>
      <c r="L45" s="17">
        <v>10</v>
      </c>
      <c r="M45" s="17">
        <v>11</v>
      </c>
      <c r="N45" s="17">
        <v>12</v>
      </c>
      <c r="O45" s="17">
        <v>13</v>
      </c>
      <c r="P45" s="17">
        <v>14</v>
      </c>
      <c r="Q45" s="17">
        <v>15</v>
      </c>
      <c r="R45" s="17">
        <v>16</v>
      </c>
      <c r="S45" s="17">
        <v>17</v>
      </c>
      <c r="T45" s="17">
        <v>18</v>
      </c>
      <c r="U45" s="18">
        <v>19</v>
      </c>
    </row>
    <row r="46" spans="1:21" ht="16.5" thickBot="1" x14ac:dyDescent="0.3">
      <c r="A46" s="10" t="s">
        <v>40</v>
      </c>
      <c r="B46">
        <v>34860</v>
      </c>
      <c r="C46">
        <v>60930.897892189103</v>
      </c>
      <c r="D46">
        <v>80479.110038832499</v>
      </c>
      <c r="E46">
        <v>95129.386899353107</v>
      </c>
      <c r="F46">
        <v>106079.73330127</v>
      </c>
      <c r="G46">
        <v>114248.10271595301</v>
      </c>
      <c r="H46">
        <v>120331.769460129</v>
      </c>
      <c r="I46">
        <v>124857.21927830701</v>
      </c>
      <c r="J46">
        <v>128220.28484649499</v>
      </c>
      <c r="K46">
        <v>130717.599076504</v>
      </c>
      <c r="L46">
        <v>132570.89168382599</v>
      </c>
      <c r="M46">
        <v>133945.57319958601</v>
      </c>
      <c r="N46">
        <v>134964.846418492</v>
      </c>
      <c r="O46">
        <v>135720.36269861701</v>
      </c>
      <c r="P46">
        <v>136280.23503866</v>
      </c>
      <c r="Q46">
        <v>136695.04378371499</v>
      </c>
      <c r="R46">
        <v>137002.32628979799</v>
      </c>
      <c r="S46">
        <v>137229.92649224799</v>
      </c>
      <c r="T46">
        <v>137398.48992816999</v>
      </c>
      <c r="U46">
        <v>137523.319895219</v>
      </c>
    </row>
    <row r="50" spans="1:33" ht="16.5" thickBot="1" x14ac:dyDescent="0.3"/>
    <row r="51" spans="1:33" ht="16.5" thickBot="1" x14ac:dyDescent="0.3">
      <c r="A51" s="8" t="s">
        <v>42</v>
      </c>
    </row>
    <row r="52" spans="1:33" ht="16.5" thickBot="1" x14ac:dyDescent="0.3">
      <c r="A52" s="8" t="s">
        <v>8</v>
      </c>
      <c r="B52" s="5">
        <v>0</v>
      </c>
      <c r="C52" s="5">
        <v>1</v>
      </c>
      <c r="D52" s="5">
        <v>2</v>
      </c>
      <c r="E52" s="5">
        <v>3</v>
      </c>
      <c r="F52" s="5">
        <v>4</v>
      </c>
      <c r="G52" s="5">
        <v>5</v>
      </c>
      <c r="H52" s="5">
        <v>6</v>
      </c>
      <c r="I52" s="5">
        <v>7</v>
      </c>
      <c r="J52" s="5">
        <v>8</v>
      </c>
      <c r="K52" s="5">
        <v>9</v>
      </c>
      <c r="L52" s="5">
        <v>10</v>
      </c>
      <c r="M52" s="5">
        <v>11</v>
      </c>
      <c r="N52" s="5">
        <v>12</v>
      </c>
      <c r="O52" s="5">
        <v>13</v>
      </c>
      <c r="P52" s="5">
        <v>14</v>
      </c>
      <c r="Q52" s="5">
        <v>15</v>
      </c>
      <c r="R52" s="5">
        <v>16</v>
      </c>
      <c r="S52" s="5">
        <v>17</v>
      </c>
      <c r="T52" s="5">
        <v>18</v>
      </c>
      <c r="U52" s="6">
        <v>19</v>
      </c>
    </row>
    <row r="53" spans="1:33" x14ac:dyDescent="0.25">
      <c r="A53" s="9" t="s">
        <v>33</v>
      </c>
      <c r="B53" s="26">
        <f>+B24/B$34</f>
        <v>0.28752151462994835</v>
      </c>
      <c r="C53" s="26">
        <f t="shared" ref="C53:U53" si="0">+C24/C$34</f>
        <v>0</v>
      </c>
      <c r="D53" s="26">
        <f t="shared" si="0"/>
        <v>0</v>
      </c>
      <c r="E53" s="26">
        <f t="shared" si="0"/>
        <v>0</v>
      </c>
      <c r="F53" s="26">
        <f t="shared" si="0"/>
        <v>0</v>
      </c>
      <c r="G53" s="26">
        <f t="shared" si="0"/>
        <v>0</v>
      </c>
      <c r="H53" s="26">
        <f t="shared" si="0"/>
        <v>0</v>
      </c>
      <c r="I53" s="26">
        <f t="shared" si="0"/>
        <v>0</v>
      </c>
      <c r="J53" s="26">
        <f t="shared" si="0"/>
        <v>0</v>
      </c>
      <c r="K53" s="26">
        <f t="shared" si="0"/>
        <v>0</v>
      </c>
      <c r="L53" s="26">
        <f t="shared" si="0"/>
        <v>0</v>
      </c>
      <c r="M53" s="26">
        <f t="shared" si="0"/>
        <v>0</v>
      </c>
      <c r="N53" s="26">
        <f t="shared" si="0"/>
        <v>0</v>
      </c>
      <c r="O53" s="26">
        <f t="shared" si="0"/>
        <v>0</v>
      </c>
      <c r="P53" s="26">
        <f t="shared" si="0"/>
        <v>0</v>
      </c>
      <c r="Q53" s="26">
        <f t="shared" si="0"/>
        <v>0</v>
      </c>
      <c r="R53" s="26">
        <f t="shared" si="0"/>
        <v>0</v>
      </c>
      <c r="S53" s="26">
        <f t="shared" si="0"/>
        <v>0</v>
      </c>
      <c r="T53" s="26">
        <f t="shared" si="0"/>
        <v>0</v>
      </c>
      <c r="U53" s="27">
        <f t="shared" si="0"/>
        <v>0</v>
      </c>
    </row>
    <row r="54" spans="1:33" x14ac:dyDescent="0.25">
      <c r="A54" s="9" t="s">
        <v>34</v>
      </c>
      <c r="B54" s="26">
        <f t="shared" ref="B54:U54" si="1">+B25/B$34</f>
        <v>0.55008605851979342</v>
      </c>
      <c r="C54" s="26">
        <f t="shared" si="1"/>
        <v>0.80280424055444566</v>
      </c>
      <c r="D54" s="26">
        <f t="shared" si="1"/>
        <v>0.8243416547084067</v>
      </c>
      <c r="E54" s="26">
        <f t="shared" si="1"/>
        <v>0.84097871761560861</v>
      </c>
      <c r="F54" s="26">
        <f t="shared" si="1"/>
        <v>0.85388183249820371</v>
      </c>
      <c r="G54" s="26">
        <f t="shared" si="1"/>
        <v>0.86401205025367322</v>
      </c>
      <c r="H54" s="26">
        <f t="shared" si="1"/>
        <v>0.87200754056400476</v>
      </c>
      <c r="I54" s="26">
        <f t="shared" si="1"/>
        <v>0.87833786755663135</v>
      </c>
      <c r="J54" s="26">
        <f t="shared" si="1"/>
        <v>0.88336118132996511</v>
      </c>
      <c r="K54" s="26">
        <f t="shared" si="1"/>
        <v>0.88735435197771773</v>
      </c>
      <c r="L54" s="26">
        <f t="shared" si="1"/>
        <v>0.89053304890038143</v>
      </c>
      <c r="M54" s="26">
        <f t="shared" si="1"/>
        <v>0.8930661953467387</v>
      </c>
      <c r="N54" s="26">
        <f t="shared" si="1"/>
        <v>0.89508667176812251</v>
      </c>
      <c r="O54" s="26">
        <f t="shared" si="1"/>
        <v>0.89669936649951287</v>
      </c>
      <c r="P54" s="26">
        <f t="shared" si="1"/>
        <v>0.8979873013171481</v>
      </c>
      <c r="Q54" s="26">
        <f t="shared" si="1"/>
        <v>0.89901633578797446</v>
      </c>
      <c r="R54" s="26">
        <f t="shared" si="1"/>
        <v>0.89983880796407523</v>
      </c>
      <c r="S54" s="26">
        <f t="shared" si="1"/>
        <v>0.90049636978625713</v>
      </c>
      <c r="T54" s="26">
        <f t="shared" si="1"/>
        <v>0.90102220681708178</v>
      </c>
      <c r="U54" s="27">
        <f t="shared" si="1"/>
        <v>0.90144278338332062</v>
      </c>
    </row>
    <row r="55" spans="1:33" x14ac:dyDescent="0.25">
      <c r="A55" s="9" t="s">
        <v>35</v>
      </c>
      <c r="B55" s="26">
        <f t="shared" ref="B55:U55" si="2">+B26/B$34</f>
        <v>0.12269076305220883</v>
      </c>
      <c r="C55" s="26">
        <f t="shared" si="2"/>
        <v>0.15994804330212972</v>
      </c>
      <c r="D55" s="26">
        <f t="shared" si="2"/>
        <v>0.14270023652020433</v>
      </c>
      <c r="E55" s="26">
        <f t="shared" si="2"/>
        <v>0.12873089710283744</v>
      </c>
      <c r="F55" s="26">
        <f t="shared" si="2"/>
        <v>0.11778020463423798</v>
      </c>
      <c r="G55" s="26">
        <f t="shared" si="2"/>
        <v>0.10916470047335074</v>
      </c>
      <c r="H55" s="26">
        <f t="shared" si="2"/>
        <v>0.10236202403923554</v>
      </c>
      <c r="I55" s="26">
        <f t="shared" si="2"/>
        <v>9.6975691427635721E-2</v>
      </c>
      <c r="J55" s="26">
        <f t="shared" si="2"/>
        <v>9.2701407646973918E-2</v>
      </c>
      <c r="K55" s="26">
        <f t="shared" si="2"/>
        <v>8.9303652827522492E-2</v>
      </c>
      <c r="L55" s="26">
        <f t="shared" si="2"/>
        <v>8.6598925450538267E-2</v>
      </c>
      <c r="M55" s="26">
        <f t="shared" si="2"/>
        <v>8.4443491534963666E-2</v>
      </c>
      <c r="N55" s="26">
        <f t="shared" si="2"/>
        <v>8.2724284387394945E-2</v>
      </c>
      <c r="O55" s="26">
        <f t="shared" si="2"/>
        <v>8.1352055398113285E-2</v>
      </c>
      <c r="P55" s="26">
        <f t="shared" si="2"/>
        <v>8.0256162009443271E-2</v>
      </c>
      <c r="Q55" s="26">
        <f t="shared" si="2"/>
        <v>7.9380564845699109E-2</v>
      </c>
      <c r="R55" s="26">
        <f t="shared" si="2"/>
        <v>7.8680729878956801E-2</v>
      </c>
      <c r="S55" s="26">
        <f t="shared" si="2"/>
        <v>7.8121215807437874E-2</v>
      </c>
      <c r="T55" s="26">
        <f t="shared" si="2"/>
        <v>7.7673785302586076E-2</v>
      </c>
      <c r="U55" s="27">
        <f t="shared" si="2"/>
        <v>7.7315920081365369E-2</v>
      </c>
    </row>
    <row r="56" spans="1:33" x14ac:dyDescent="0.25">
      <c r="A56" s="9" t="s">
        <v>36</v>
      </c>
      <c r="B56" s="26">
        <f t="shared" ref="B56:U56" si="3">+B27/B$34</f>
        <v>3.970166379804934E-2</v>
      </c>
      <c r="C56" s="26">
        <f t="shared" si="3"/>
        <v>3.7247716143425348E-2</v>
      </c>
      <c r="D56" s="26">
        <f t="shared" si="3"/>
        <v>3.2958108771391971E-2</v>
      </c>
      <c r="E56" s="26">
        <f t="shared" si="3"/>
        <v>3.0290385281555806E-2</v>
      </c>
      <c r="F56" s="26">
        <f t="shared" si="3"/>
        <v>2.8337962867560861E-2</v>
      </c>
      <c r="G56" s="26">
        <f t="shared" si="3"/>
        <v>2.6823249272977294E-2</v>
      </c>
      <c r="H56" s="26">
        <f t="shared" si="3"/>
        <v>2.563043539675736E-2</v>
      </c>
      <c r="I56" s="26">
        <f t="shared" si="3"/>
        <v>2.4686441015731586E-2</v>
      </c>
      <c r="J56" s="26">
        <f t="shared" si="3"/>
        <v>2.393741102306348E-2</v>
      </c>
      <c r="K56" s="26">
        <f t="shared" si="3"/>
        <v>2.3341995194759196E-2</v>
      </c>
      <c r="L56" s="26">
        <f t="shared" si="3"/>
        <v>2.2868025649079957E-2</v>
      </c>
      <c r="M56" s="26">
        <f t="shared" si="3"/>
        <v>2.2490313118297842E-2</v>
      </c>
      <c r="N56" s="26">
        <f t="shared" si="3"/>
        <v>2.2189043844483277E-2</v>
      </c>
      <c r="O56" s="26">
        <f t="shared" si="3"/>
        <v>2.1948578102373727E-2</v>
      </c>
      <c r="P56" s="26">
        <f t="shared" si="3"/>
        <v>2.1756536673407573E-2</v>
      </c>
      <c r="Q56" s="26">
        <f t="shared" si="3"/>
        <v>2.1603099366327271E-2</v>
      </c>
      <c r="R56" s="26">
        <f t="shared" si="3"/>
        <v>2.1480462156969193E-2</v>
      </c>
      <c r="S56" s="26">
        <f t="shared" si="3"/>
        <v>2.1382414406303937E-2</v>
      </c>
      <c r="T56" s="26">
        <f t="shared" si="3"/>
        <v>2.130400788033323E-2</v>
      </c>
      <c r="U56" s="27">
        <f t="shared" si="3"/>
        <v>2.1241296535314563E-2</v>
      </c>
    </row>
    <row r="57" spans="1:33" x14ac:dyDescent="0.25">
      <c r="A57" s="9" t="s">
        <v>37</v>
      </c>
      <c r="B57" s="26">
        <f t="shared" ref="B57:U57" si="4">+B28/B$34</f>
        <v>0</v>
      </c>
      <c r="C57" s="26">
        <f t="shared" si="4"/>
        <v>0</v>
      </c>
      <c r="D57" s="26">
        <f t="shared" si="4"/>
        <v>0</v>
      </c>
      <c r="E57" s="26">
        <f t="shared" si="4"/>
        <v>0</v>
      </c>
      <c r="F57" s="26">
        <f t="shared" si="4"/>
        <v>0</v>
      </c>
      <c r="G57" s="26">
        <f t="shared" si="4"/>
        <v>0</v>
      </c>
      <c r="H57" s="26">
        <f t="shared" si="4"/>
        <v>0</v>
      </c>
      <c r="I57" s="26">
        <f t="shared" si="4"/>
        <v>0</v>
      </c>
      <c r="J57" s="26">
        <f t="shared" si="4"/>
        <v>0</v>
      </c>
      <c r="K57" s="26">
        <f t="shared" si="4"/>
        <v>0</v>
      </c>
      <c r="L57" s="26">
        <f t="shared" si="4"/>
        <v>0</v>
      </c>
      <c r="M57" s="26">
        <f t="shared" si="4"/>
        <v>0</v>
      </c>
      <c r="N57" s="26">
        <f t="shared" si="4"/>
        <v>0</v>
      </c>
      <c r="O57" s="26">
        <f t="shared" si="4"/>
        <v>0</v>
      </c>
      <c r="P57" s="26">
        <f t="shared" si="4"/>
        <v>0</v>
      </c>
      <c r="Q57" s="26">
        <f t="shared" si="4"/>
        <v>0</v>
      </c>
      <c r="R57" s="26">
        <f t="shared" si="4"/>
        <v>0</v>
      </c>
      <c r="S57" s="26">
        <f t="shared" si="4"/>
        <v>0</v>
      </c>
      <c r="T57" s="26">
        <f t="shared" si="4"/>
        <v>0</v>
      </c>
      <c r="U57" s="27">
        <f t="shared" si="4"/>
        <v>0</v>
      </c>
    </row>
    <row r="58" spans="1:33" x14ac:dyDescent="0.25">
      <c r="A58" s="9" t="s">
        <v>38</v>
      </c>
      <c r="B58" s="26">
        <f t="shared" ref="B58:U58" si="5">+B29/B$34</f>
        <v>0</v>
      </c>
      <c r="C58" s="26">
        <f t="shared" si="5"/>
        <v>0</v>
      </c>
      <c r="D58" s="26">
        <f t="shared" si="5"/>
        <v>0</v>
      </c>
      <c r="E58" s="26">
        <f t="shared" si="5"/>
        <v>0</v>
      </c>
      <c r="F58" s="26">
        <f t="shared" si="5"/>
        <v>0</v>
      </c>
      <c r="G58" s="26">
        <f t="shared" si="5"/>
        <v>0</v>
      </c>
      <c r="H58" s="26">
        <f t="shared" si="5"/>
        <v>0</v>
      </c>
      <c r="I58" s="26">
        <f t="shared" si="5"/>
        <v>0</v>
      </c>
      <c r="J58" s="26">
        <f t="shared" si="5"/>
        <v>0</v>
      </c>
      <c r="K58" s="26">
        <f t="shared" si="5"/>
        <v>0</v>
      </c>
      <c r="L58" s="26">
        <f t="shared" si="5"/>
        <v>0</v>
      </c>
      <c r="M58" s="26">
        <f t="shared" si="5"/>
        <v>0</v>
      </c>
      <c r="N58" s="26">
        <f t="shared" si="5"/>
        <v>0</v>
      </c>
      <c r="O58" s="26">
        <f t="shared" si="5"/>
        <v>0</v>
      </c>
      <c r="P58" s="26">
        <f t="shared" si="5"/>
        <v>0</v>
      </c>
      <c r="Q58" s="26">
        <f t="shared" si="5"/>
        <v>0</v>
      </c>
      <c r="R58" s="26">
        <f t="shared" si="5"/>
        <v>0</v>
      </c>
      <c r="S58" s="26">
        <f t="shared" si="5"/>
        <v>0</v>
      </c>
      <c r="T58" s="26">
        <f t="shared" si="5"/>
        <v>0</v>
      </c>
      <c r="U58" s="27">
        <f t="shared" si="5"/>
        <v>0</v>
      </c>
    </row>
    <row r="59" spans="1:33" ht="16.5" thickBot="1" x14ac:dyDescent="0.3">
      <c r="A59" s="10" t="s">
        <v>39</v>
      </c>
      <c r="B59" s="28">
        <f t="shared" ref="B59:U59" si="6">+B30/B$34</f>
        <v>0</v>
      </c>
      <c r="C59" s="28">
        <f t="shared" si="6"/>
        <v>0</v>
      </c>
      <c r="D59" s="28">
        <f t="shared" si="6"/>
        <v>0</v>
      </c>
      <c r="E59" s="28">
        <f t="shared" si="6"/>
        <v>0</v>
      </c>
      <c r="F59" s="28">
        <f t="shared" si="6"/>
        <v>0</v>
      </c>
      <c r="G59" s="28">
        <f t="shared" si="6"/>
        <v>0</v>
      </c>
      <c r="H59" s="28">
        <f t="shared" si="6"/>
        <v>0</v>
      </c>
      <c r="I59" s="28">
        <f t="shared" si="6"/>
        <v>0</v>
      </c>
      <c r="J59" s="28">
        <f t="shared" si="6"/>
        <v>0</v>
      </c>
      <c r="K59" s="28">
        <f t="shared" si="6"/>
        <v>0</v>
      </c>
      <c r="L59" s="28">
        <f t="shared" si="6"/>
        <v>0</v>
      </c>
      <c r="M59" s="28">
        <f t="shared" si="6"/>
        <v>0</v>
      </c>
      <c r="N59" s="28">
        <f t="shared" si="6"/>
        <v>0</v>
      </c>
      <c r="O59" s="28">
        <f t="shared" si="6"/>
        <v>0</v>
      </c>
      <c r="P59" s="28">
        <f t="shared" si="6"/>
        <v>0</v>
      </c>
      <c r="Q59" s="28">
        <f t="shared" si="6"/>
        <v>0</v>
      </c>
      <c r="R59" s="28">
        <f t="shared" si="6"/>
        <v>0</v>
      </c>
      <c r="S59" s="28">
        <f t="shared" si="6"/>
        <v>0</v>
      </c>
      <c r="T59" s="28">
        <f t="shared" si="6"/>
        <v>0</v>
      </c>
      <c r="U59" s="29">
        <f t="shared" si="6"/>
        <v>0</v>
      </c>
    </row>
    <row r="60" spans="1:33" x14ac:dyDescent="0.25">
      <c r="B60" s="30">
        <f>1-SUM(B53:B59)</f>
        <v>0</v>
      </c>
      <c r="C60" s="30">
        <f t="shared" ref="C60:U60" si="7">1-SUM(C53:C59)</f>
        <v>0</v>
      </c>
      <c r="D60" s="30">
        <f t="shared" si="7"/>
        <v>-3.1086244689504383E-15</v>
      </c>
      <c r="E60" s="30">
        <f t="shared" si="7"/>
        <v>-1.7763568394002505E-15</v>
      </c>
      <c r="F60" s="30">
        <f t="shared" si="7"/>
        <v>-2.6645352591003757E-15</v>
      </c>
      <c r="G60" s="30">
        <f t="shared" si="7"/>
        <v>0</v>
      </c>
      <c r="H60" s="30">
        <f t="shared" si="7"/>
        <v>2.3314683517128287E-15</v>
      </c>
      <c r="I60" s="30">
        <f t="shared" si="7"/>
        <v>0</v>
      </c>
      <c r="J60" s="30">
        <f t="shared" si="7"/>
        <v>-2.4424906541753444E-15</v>
      </c>
      <c r="K60" s="30">
        <f t="shared" si="7"/>
        <v>0</v>
      </c>
      <c r="L60" s="30">
        <f t="shared" si="7"/>
        <v>0</v>
      </c>
      <c r="M60" s="30">
        <f t="shared" si="7"/>
        <v>0</v>
      </c>
      <c r="N60" s="30">
        <f t="shared" si="7"/>
        <v>0</v>
      </c>
      <c r="O60" s="30">
        <f t="shared" si="7"/>
        <v>0</v>
      </c>
      <c r="P60" s="30">
        <f t="shared" si="7"/>
        <v>0</v>
      </c>
      <c r="Q60" s="30">
        <f t="shared" si="7"/>
        <v>0</v>
      </c>
      <c r="R60" s="30">
        <f t="shared" si="7"/>
        <v>0</v>
      </c>
      <c r="S60" s="30">
        <f t="shared" si="7"/>
        <v>0</v>
      </c>
      <c r="T60" s="30">
        <f t="shared" si="7"/>
        <v>0</v>
      </c>
      <c r="U60" s="30">
        <f t="shared" si="7"/>
        <v>0</v>
      </c>
    </row>
    <row r="61" spans="1:33" ht="16.5" thickBot="1" x14ac:dyDescent="0.3"/>
    <row r="62" spans="1:33" ht="16.5" thickBot="1" x14ac:dyDescent="0.3">
      <c r="A62" s="8" t="s">
        <v>43</v>
      </c>
    </row>
    <row r="63" spans="1:33" ht="16.5" thickBot="1" x14ac:dyDescent="0.3">
      <c r="A63" s="8" t="s">
        <v>8</v>
      </c>
      <c r="B63" s="5">
        <v>0</v>
      </c>
      <c r="C63" s="5">
        <v>1</v>
      </c>
      <c r="D63" s="5">
        <v>2</v>
      </c>
      <c r="E63" s="5">
        <v>3</v>
      </c>
      <c r="F63" s="5">
        <v>4</v>
      </c>
      <c r="G63" s="5">
        <v>5</v>
      </c>
      <c r="H63" s="5">
        <v>6</v>
      </c>
      <c r="I63" s="5">
        <v>7</v>
      </c>
      <c r="J63" s="5">
        <v>8</v>
      </c>
      <c r="K63" s="5">
        <v>9</v>
      </c>
      <c r="L63" s="5">
        <v>10</v>
      </c>
      <c r="M63" s="5">
        <v>11</v>
      </c>
      <c r="N63" s="5">
        <v>12</v>
      </c>
      <c r="O63" s="5">
        <v>13</v>
      </c>
      <c r="P63" s="5">
        <v>14</v>
      </c>
      <c r="Q63" s="5">
        <v>15</v>
      </c>
      <c r="R63" s="5">
        <v>16</v>
      </c>
      <c r="S63" s="5">
        <v>17</v>
      </c>
      <c r="T63" s="5">
        <v>18</v>
      </c>
      <c r="U63" s="6">
        <v>19</v>
      </c>
    </row>
    <row r="64" spans="1:33" x14ac:dyDescent="0.25">
      <c r="A64" s="9" t="s">
        <v>33</v>
      </c>
      <c r="B64" s="12">
        <f>+B53*B$42</f>
        <v>10023</v>
      </c>
      <c r="C64" s="31">
        <f t="shared" ref="C64:U64" si="8">+C53*C$42</f>
        <v>0</v>
      </c>
      <c r="D64" s="31">
        <f t="shared" si="8"/>
        <v>0</v>
      </c>
      <c r="E64" s="31">
        <f t="shared" si="8"/>
        <v>0</v>
      </c>
      <c r="F64" s="31">
        <f t="shared" si="8"/>
        <v>0</v>
      </c>
      <c r="G64" s="31">
        <f t="shared" si="8"/>
        <v>0</v>
      </c>
      <c r="H64" s="31">
        <f t="shared" si="8"/>
        <v>0</v>
      </c>
      <c r="I64" s="31">
        <f t="shared" si="8"/>
        <v>0</v>
      </c>
      <c r="J64" s="31">
        <f t="shared" si="8"/>
        <v>0</v>
      </c>
      <c r="K64" s="31">
        <f t="shared" si="8"/>
        <v>0</v>
      </c>
      <c r="L64" s="31">
        <f t="shared" si="8"/>
        <v>0</v>
      </c>
      <c r="M64" s="31">
        <f t="shared" si="8"/>
        <v>0</v>
      </c>
      <c r="N64" s="31">
        <f t="shared" si="8"/>
        <v>0</v>
      </c>
      <c r="O64" s="31">
        <f t="shared" si="8"/>
        <v>0</v>
      </c>
      <c r="P64" s="31">
        <f t="shared" si="8"/>
        <v>0</v>
      </c>
      <c r="Q64" s="31">
        <f t="shared" si="8"/>
        <v>0</v>
      </c>
      <c r="R64" s="31">
        <f t="shared" si="8"/>
        <v>0</v>
      </c>
      <c r="S64" s="31">
        <f t="shared" si="8"/>
        <v>0</v>
      </c>
      <c r="T64" s="31">
        <f t="shared" si="8"/>
        <v>0</v>
      </c>
      <c r="U64" s="32">
        <f t="shared" si="8"/>
        <v>0</v>
      </c>
      <c r="AD64" t="s">
        <v>36</v>
      </c>
      <c r="AE64" t="s">
        <v>35</v>
      </c>
      <c r="AF64" t="s">
        <v>34</v>
      </c>
      <c r="AG64" t="s">
        <v>33</v>
      </c>
    </row>
    <row r="65" spans="1:33" x14ac:dyDescent="0.25">
      <c r="A65" s="9" t="s">
        <v>34</v>
      </c>
      <c r="B65" s="31">
        <f t="shared" ref="B65:U65" si="9">+B54*B$42</f>
        <v>19176</v>
      </c>
      <c r="C65" s="31">
        <f t="shared" si="9"/>
        <v>20929.827382911368</v>
      </c>
      <c r="D65" s="31">
        <f t="shared" si="9"/>
        <v>16114.405547554996</v>
      </c>
      <c r="E65" s="31">
        <f t="shared" si="9"/>
        <v>12320.571046874238</v>
      </c>
      <c r="F65" s="31">
        <f t="shared" si="9"/>
        <v>9350.3018521587437</v>
      </c>
      <c r="G65" s="31">
        <f t="shared" si="9"/>
        <v>7057.5696052095091</v>
      </c>
      <c r="H65" s="31">
        <f t="shared" si="9"/>
        <v>5305.0032752002717</v>
      </c>
      <c r="I65" s="31">
        <f t="shared" si="9"/>
        <v>3974.8739430325791</v>
      </c>
      <c r="J65" s="31">
        <f t="shared" si="9"/>
        <v>2970.8015732049471</v>
      </c>
      <c r="K65" s="31">
        <f t="shared" si="9"/>
        <v>2216.0026502548753</v>
      </c>
      <c r="L65" s="31">
        <f t="shared" si="9"/>
        <v>1650.4183161024102</v>
      </c>
      <c r="M65" s="31">
        <f t="shared" si="9"/>
        <v>1227.6815910936816</v>
      </c>
      <c r="N65" s="31">
        <f t="shared" si="9"/>
        <v>912.33787313314042</v>
      </c>
      <c r="O65" s="31">
        <f t="shared" si="9"/>
        <v>677.47096976773639</v>
      </c>
      <c r="P65" s="31">
        <f t="shared" si="9"/>
        <v>502.75825171707618</v>
      </c>
      <c r="Q65" s="31">
        <f t="shared" si="9"/>
        <v>372.91983803281403</v>
      </c>
      <c r="R65" s="31">
        <f t="shared" si="9"/>
        <v>276.50472398133661</v>
      </c>
      <c r="S65" s="31">
        <f t="shared" si="9"/>
        <v>204.95315606934915</v>
      </c>
      <c r="T65" s="31">
        <f t="shared" si="9"/>
        <v>151.87939902306064</v>
      </c>
      <c r="U65" s="32">
        <f t="shared" si="9"/>
        <v>112.52707294655116</v>
      </c>
      <c r="AC65" t="s">
        <v>44</v>
      </c>
      <c r="AD65">
        <v>1384</v>
      </c>
      <c r="AE65">
        <v>4277</v>
      </c>
      <c r="AF65">
        <v>19176</v>
      </c>
      <c r="AG65">
        <v>10023</v>
      </c>
    </row>
    <row r="66" spans="1:33" x14ac:dyDescent="0.25">
      <c r="A66" s="9" t="s">
        <v>35</v>
      </c>
      <c r="B66" s="31">
        <f t="shared" ref="B66:U66" si="10">+B55*B$42</f>
        <v>4277</v>
      </c>
      <c r="C66" s="31">
        <f t="shared" si="10"/>
        <v>4169.9891049852649</v>
      </c>
      <c r="D66" s="31">
        <f t="shared" si="10"/>
        <v>2789.5344968731442</v>
      </c>
      <c r="E66" s="31">
        <f t="shared" si="10"/>
        <v>1885.9432830597577</v>
      </c>
      <c r="F66" s="31">
        <f t="shared" si="10"/>
        <v>1289.7340400335406</v>
      </c>
      <c r="G66" s="31">
        <f t="shared" si="10"/>
        <v>891.69760050953039</v>
      </c>
      <c r="H66" s="31">
        <f t="shared" si="10"/>
        <v>622.73644151408041</v>
      </c>
      <c r="I66" s="31">
        <f t="shared" si="10"/>
        <v>438.85862513883239</v>
      </c>
      <c r="J66" s="31">
        <f t="shared" si="10"/>
        <v>311.76091218012556</v>
      </c>
      <c r="K66" s="31">
        <f t="shared" si="10"/>
        <v>223.0192829980063</v>
      </c>
      <c r="L66" s="31">
        <f t="shared" si="10"/>
        <v>160.49314833945442</v>
      </c>
      <c r="M66" s="31">
        <f t="shared" si="10"/>
        <v>116.08290693938942</v>
      </c>
      <c r="N66" s="31">
        <f t="shared" si="10"/>
        <v>84.31864762925278</v>
      </c>
      <c r="O66" s="31">
        <f t="shared" si="10"/>
        <v>61.462802274867407</v>
      </c>
      <c r="P66" s="31">
        <f t="shared" si="10"/>
        <v>44.93320522707441</v>
      </c>
      <c r="Q66" s="31">
        <f t="shared" si="10"/>
        <v>32.927752485459763</v>
      </c>
      <c r="R66" s="31">
        <f t="shared" si="10"/>
        <v>24.177211857592628</v>
      </c>
      <c r="S66" s="31">
        <f t="shared" si="10"/>
        <v>17.780404533456981</v>
      </c>
      <c r="T66" s="31">
        <f t="shared" si="10"/>
        <v>13.092960131667381</v>
      </c>
      <c r="U66" s="32">
        <f t="shared" si="10"/>
        <v>9.6513437561416051</v>
      </c>
      <c r="AC66" t="s">
        <v>45</v>
      </c>
      <c r="AD66">
        <v>971.08140429248579</v>
      </c>
      <c r="AE66">
        <v>4169.9891049852649</v>
      </c>
      <c r="AF66">
        <v>20929.827382911368</v>
      </c>
      <c r="AG66">
        <v>0</v>
      </c>
    </row>
    <row r="67" spans="1:33" x14ac:dyDescent="0.25">
      <c r="A67" s="9" t="s">
        <v>36</v>
      </c>
      <c r="B67" s="31">
        <f t="shared" ref="B67:U67" si="11">+B56*B$42</f>
        <v>1384</v>
      </c>
      <c r="C67" s="31">
        <f t="shared" si="11"/>
        <v>971.08140429248579</v>
      </c>
      <c r="D67" s="31">
        <f t="shared" si="11"/>
        <v>644.27210221531891</v>
      </c>
      <c r="E67" s="31">
        <f t="shared" si="11"/>
        <v>443.76253058663082</v>
      </c>
      <c r="F67" s="31">
        <f t="shared" si="11"/>
        <v>310.31050972444416</v>
      </c>
      <c r="G67" s="31">
        <f t="shared" si="11"/>
        <v>219.10220896380119</v>
      </c>
      <c r="H67" s="31">
        <f t="shared" si="11"/>
        <v>155.92702746201391</v>
      </c>
      <c r="I67" s="31">
        <f t="shared" si="11"/>
        <v>111.71725000609233</v>
      </c>
      <c r="J67" s="31">
        <f t="shared" si="11"/>
        <v>80.503082803235856</v>
      </c>
      <c r="K67" s="31">
        <f t="shared" si="11"/>
        <v>58.292296756687143</v>
      </c>
      <c r="L67" s="31">
        <f t="shared" si="11"/>
        <v>42.381142879474673</v>
      </c>
      <c r="M67" s="31">
        <f t="shared" si="11"/>
        <v>30.917017727389034</v>
      </c>
      <c r="N67" s="31">
        <f t="shared" si="11"/>
        <v>22.616698143817494</v>
      </c>
      <c r="O67" s="31">
        <f t="shared" si="11"/>
        <v>16.582508081928157</v>
      </c>
      <c r="P67" s="31">
        <f t="shared" si="11"/>
        <v>12.180883098565888</v>
      </c>
      <c r="Q67" s="31">
        <f t="shared" si="11"/>
        <v>8.961154537460537</v>
      </c>
      <c r="R67" s="31">
        <f t="shared" si="11"/>
        <v>6.6005702434001243</v>
      </c>
      <c r="S67" s="31">
        <f t="shared" si="11"/>
        <v>4.8666418477566111</v>
      </c>
      <c r="T67" s="31">
        <f t="shared" si="11"/>
        <v>3.5910767672171615</v>
      </c>
      <c r="U67" s="32">
        <f t="shared" si="11"/>
        <v>2.6515503465873023</v>
      </c>
      <c r="AC67" t="s">
        <v>46</v>
      </c>
      <c r="AD67">
        <v>644.27210221531891</v>
      </c>
      <c r="AE67">
        <v>2789.5344968731442</v>
      </c>
      <c r="AF67">
        <v>16114.405547554996</v>
      </c>
      <c r="AG67">
        <v>0</v>
      </c>
    </row>
    <row r="68" spans="1:33" x14ac:dyDescent="0.25">
      <c r="A68" s="9" t="s">
        <v>37</v>
      </c>
      <c r="B68" s="31">
        <f t="shared" ref="B68:U68" si="12">+B57*B$42</f>
        <v>0</v>
      </c>
      <c r="C68" s="31">
        <f t="shared" si="12"/>
        <v>0</v>
      </c>
      <c r="D68" s="31">
        <f t="shared" si="12"/>
        <v>0</v>
      </c>
      <c r="E68" s="31">
        <f t="shared" si="12"/>
        <v>0</v>
      </c>
      <c r="F68" s="31">
        <f t="shared" si="12"/>
        <v>0</v>
      </c>
      <c r="G68" s="31">
        <f t="shared" si="12"/>
        <v>0</v>
      </c>
      <c r="H68" s="31">
        <f t="shared" si="12"/>
        <v>0</v>
      </c>
      <c r="I68" s="31">
        <f t="shared" si="12"/>
        <v>0</v>
      </c>
      <c r="J68" s="31">
        <f t="shared" si="12"/>
        <v>0</v>
      </c>
      <c r="K68" s="31">
        <f t="shared" si="12"/>
        <v>0</v>
      </c>
      <c r="L68" s="31">
        <f t="shared" si="12"/>
        <v>0</v>
      </c>
      <c r="M68" s="31">
        <f t="shared" si="12"/>
        <v>0</v>
      </c>
      <c r="N68" s="31">
        <f t="shared" si="12"/>
        <v>0</v>
      </c>
      <c r="O68" s="31">
        <f t="shared" si="12"/>
        <v>0</v>
      </c>
      <c r="P68" s="31">
        <f t="shared" si="12"/>
        <v>0</v>
      </c>
      <c r="Q68" s="31">
        <f t="shared" si="12"/>
        <v>0</v>
      </c>
      <c r="R68" s="31">
        <f t="shared" si="12"/>
        <v>0</v>
      </c>
      <c r="S68" s="31">
        <f t="shared" si="12"/>
        <v>0</v>
      </c>
      <c r="T68" s="31">
        <f t="shared" si="12"/>
        <v>0</v>
      </c>
      <c r="U68" s="32">
        <f t="shared" si="12"/>
        <v>0</v>
      </c>
      <c r="AC68" t="s">
        <v>47</v>
      </c>
      <c r="AD68">
        <v>443.76253058663082</v>
      </c>
      <c r="AE68">
        <v>1885.9432830597577</v>
      </c>
      <c r="AF68">
        <v>12320.571046874238</v>
      </c>
      <c r="AG68">
        <v>0</v>
      </c>
    </row>
    <row r="69" spans="1:33" x14ac:dyDescent="0.25">
      <c r="A69" s="9" t="s">
        <v>38</v>
      </c>
      <c r="B69" s="31">
        <f t="shared" ref="B69:U69" si="13">+B58*B$42</f>
        <v>0</v>
      </c>
      <c r="C69" s="31">
        <f t="shared" si="13"/>
        <v>0</v>
      </c>
      <c r="D69" s="31">
        <f t="shared" si="13"/>
        <v>0</v>
      </c>
      <c r="E69" s="31">
        <f t="shared" si="13"/>
        <v>0</v>
      </c>
      <c r="F69" s="31">
        <f t="shared" si="13"/>
        <v>0</v>
      </c>
      <c r="G69" s="31">
        <f t="shared" si="13"/>
        <v>0</v>
      </c>
      <c r="H69" s="31">
        <f t="shared" si="13"/>
        <v>0</v>
      </c>
      <c r="I69" s="31">
        <f t="shared" si="13"/>
        <v>0</v>
      </c>
      <c r="J69" s="31">
        <f t="shared" si="13"/>
        <v>0</v>
      </c>
      <c r="K69" s="31">
        <f t="shared" si="13"/>
        <v>0</v>
      </c>
      <c r="L69" s="31">
        <f t="shared" si="13"/>
        <v>0</v>
      </c>
      <c r="M69" s="31">
        <f t="shared" si="13"/>
        <v>0</v>
      </c>
      <c r="N69" s="31">
        <f t="shared" si="13"/>
        <v>0</v>
      </c>
      <c r="O69" s="31">
        <f t="shared" si="13"/>
        <v>0</v>
      </c>
      <c r="P69" s="31">
        <f t="shared" si="13"/>
        <v>0</v>
      </c>
      <c r="Q69" s="31">
        <f t="shared" si="13"/>
        <v>0</v>
      </c>
      <c r="R69" s="31">
        <f t="shared" si="13"/>
        <v>0</v>
      </c>
      <c r="S69" s="31">
        <f t="shared" si="13"/>
        <v>0</v>
      </c>
      <c r="T69" s="31">
        <f t="shared" si="13"/>
        <v>0</v>
      </c>
      <c r="U69" s="32">
        <f t="shared" si="13"/>
        <v>0</v>
      </c>
    </row>
    <row r="70" spans="1:33" ht="16.5" thickBot="1" x14ac:dyDescent="0.3">
      <c r="A70" s="10" t="s">
        <v>39</v>
      </c>
      <c r="B70" s="33">
        <f t="shared" ref="B70:U70" si="14">+B59*B$42</f>
        <v>0</v>
      </c>
      <c r="C70" s="33">
        <f t="shared" si="14"/>
        <v>0</v>
      </c>
      <c r="D70" s="33">
        <f t="shared" si="14"/>
        <v>0</v>
      </c>
      <c r="E70" s="33">
        <f t="shared" si="14"/>
        <v>0</v>
      </c>
      <c r="F70" s="33">
        <f t="shared" si="14"/>
        <v>0</v>
      </c>
      <c r="G70" s="33">
        <f t="shared" si="14"/>
        <v>0</v>
      </c>
      <c r="H70" s="33">
        <f t="shared" si="14"/>
        <v>0</v>
      </c>
      <c r="I70" s="33">
        <f t="shared" si="14"/>
        <v>0</v>
      </c>
      <c r="J70" s="33">
        <f t="shared" si="14"/>
        <v>0</v>
      </c>
      <c r="K70" s="33">
        <f t="shared" si="14"/>
        <v>0</v>
      </c>
      <c r="L70" s="33">
        <f t="shared" si="14"/>
        <v>0</v>
      </c>
      <c r="M70" s="33">
        <f t="shared" si="14"/>
        <v>0</v>
      </c>
      <c r="N70" s="33">
        <f t="shared" si="14"/>
        <v>0</v>
      </c>
      <c r="O70" s="33">
        <f t="shared" si="14"/>
        <v>0</v>
      </c>
      <c r="P70" s="33">
        <f t="shared" si="14"/>
        <v>0</v>
      </c>
      <c r="Q70" s="33">
        <f t="shared" si="14"/>
        <v>0</v>
      </c>
      <c r="R70" s="33">
        <f t="shared" si="14"/>
        <v>0</v>
      </c>
      <c r="S70" s="33">
        <f t="shared" si="14"/>
        <v>0</v>
      </c>
      <c r="T70" s="33">
        <f t="shared" si="14"/>
        <v>0</v>
      </c>
      <c r="U70" s="34">
        <f t="shared" si="14"/>
        <v>0</v>
      </c>
    </row>
    <row r="72" spans="1:33" x14ac:dyDescent="0.25">
      <c r="A72"/>
    </row>
    <row r="73" spans="1:33" x14ac:dyDescent="0.25">
      <c r="A73"/>
    </row>
    <row r="74" spans="1:33" x14ac:dyDescent="0.25">
      <c r="A74"/>
    </row>
    <row r="75" spans="1:33" x14ac:dyDescent="0.25">
      <c r="A75"/>
    </row>
    <row r="76" spans="1:33" x14ac:dyDescent="0.25">
      <c r="A76"/>
    </row>
    <row r="77" spans="1:33" x14ac:dyDescent="0.25">
      <c r="A77"/>
    </row>
    <row r="78" spans="1:33" x14ac:dyDescent="0.25">
      <c r="A78"/>
    </row>
    <row r="79" spans="1:33" x14ac:dyDescent="0.25">
      <c r="A79"/>
    </row>
    <row r="80" spans="1:33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</sheetData>
  <conditionalFormatting sqref="B3:H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DO MA</vt:lpstr>
      <vt:lpstr>DO WW</vt:lpstr>
      <vt:lpstr>PA MA</vt:lpstr>
      <vt:lpstr>PA WW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Kocsis Dora</cp:lastModifiedBy>
  <dcterms:created xsi:type="dcterms:W3CDTF">2018-03-26T16:22:34Z</dcterms:created>
  <dcterms:modified xsi:type="dcterms:W3CDTF">2018-03-26T21:47:37Z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ad579bbd-e943-49c6-9253-d30752cee6d6</vt:lpwstr>
  </property>
</Properties>
</file>